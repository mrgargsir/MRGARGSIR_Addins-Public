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mrgar\Desktop\"/>
    </mc:Choice>
  </mc:AlternateContent>
  <xr:revisionPtr revIDLastSave="0" documentId="13_ncr:1_{4981BA8E-CBA1-46E9-A178-04E0C7E9086A}" xr6:coauthVersionLast="47" xr6:coauthVersionMax="47" xr10:uidLastSave="{00000000-0000-0000-0000-000000000000}"/>
  <bookViews>
    <workbookView xWindow="-108" yWindow="-108" windowWidth="23256" windowHeight="12456" xr2:uid="{00000000-000D-0000-FFFF-FFFF00000000}"/>
  </bookViews>
  <sheets>
    <sheet name="Sample" sheetId="1" r:id="rId1"/>
    <sheet name="VARIATION" sheetId="10" r:id="rId2"/>
    <sheet name="SUMMARY BILL MATCH" sheetId="9" r:id="rId3"/>
    <sheet name="ABSTRACT BILL" sheetId="7" r:id="rId4"/>
    <sheet name="Steel Summary"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17" i="10" l="1"/>
  <c r="Q17" i="10"/>
  <c r="P17" i="10"/>
  <c r="R16" i="10"/>
  <c r="Q16" i="10" s="1"/>
  <c r="P16" i="10"/>
  <c r="R15" i="10"/>
  <c r="Q15" i="10"/>
  <c r="P15" i="10"/>
  <c r="R14" i="10"/>
  <c r="Q14" i="10"/>
  <c r="P14" i="10"/>
  <c r="R13" i="10"/>
  <c r="Q13" i="10" s="1"/>
  <c r="P13" i="10"/>
  <c r="R12" i="10"/>
  <c r="Q12" i="10" s="1"/>
  <c r="P12" i="10"/>
  <c r="R11" i="10"/>
  <c r="Q11" i="10" s="1"/>
  <c r="P11" i="10"/>
  <c r="R10" i="10"/>
  <c r="Q10" i="10"/>
  <c r="P10" i="10"/>
  <c r="R9" i="10"/>
  <c r="Q9" i="10"/>
  <c r="P9" i="10"/>
  <c r="R8" i="10"/>
  <c r="Q8" i="10" s="1"/>
  <c r="P8" i="10"/>
  <c r="R7" i="10"/>
  <c r="Q7" i="10" s="1"/>
  <c r="P7" i="10"/>
  <c r="R6" i="10"/>
  <c r="Q6" i="10" s="1"/>
  <c r="P6" i="10"/>
  <c r="R5" i="10"/>
  <c r="Q5" i="10"/>
  <c r="P5" i="10"/>
  <c r="R4" i="10"/>
  <c r="Q4" i="10"/>
  <c r="P4" i="10"/>
  <c r="R3" i="10"/>
  <c r="Q3" i="10"/>
  <c r="P3" i="10"/>
  <c r="P18" i="10"/>
  <c r="N18" i="10"/>
  <c r="L18" i="10"/>
  <c r="K18" i="10"/>
  <c r="J18" i="10"/>
  <c r="C17" i="10"/>
  <c r="F17" i="10" s="1"/>
  <c r="C16" i="10"/>
  <c r="F16" i="10" s="1"/>
  <c r="C15" i="10"/>
  <c r="F15" i="10" s="1"/>
  <c r="F14" i="10"/>
  <c r="C14" i="10"/>
  <c r="C13" i="10"/>
  <c r="F13" i="10" s="1"/>
  <c r="C12" i="10"/>
  <c r="F12" i="10" s="1"/>
  <c r="C11" i="10"/>
  <c r="F11" i="10" s="1"/>
  <c r="C10" i="10"/>
  <c r="F10" i="10" s="1"/>
  <c r="C9" i="10"/>
  <c r="F9" i="10" s="1"/>
  <c r="C8" i="10"/>
  <c r="F8" i="10" s="1"/>
  <c r="F7" i="10"/>
  <c r="C7" i="10"/>
  <c r="C18" i="10" s="1"/>
  <c r="F6" i="10"/>
  <c r="C6" i="10"/>
  <c r="C5" i="10"/>
  <c r="F5" i="10" s="1"/>
  <c r="C4" i="10"/>
  <c r="F4" i="10" s="1"/>
  <c r="C3" i="10"/>
  <c r="F3" i="10" s="1"/>
  <c r="U17" i="9"/>
  <c r="T17" i="9"/>
  <c r="R17" i="9"/>
  <c r="Q17" i="9"/>
  <c r="P17" i="9"/>
  <c r="U16" i="9"/>
  <c r="T16" i="9"/>
  <c r="S16" i="9"/>
  <c r="R16" i="9"/>
  <c r="Q16" i="9"/>
  <c r="P16" i="9"/>
  <c r="U15" i="9"/>
  <c r="T15" i="9"/>
  <c r="S15" i="9"/>
  <c r="R15" i="9"/>
  <c r="Q15" i="9"/>
  <c r="P15" i="9"/>
  <c r="U14" i="9"/>
  <c r="T14" i="9"/>
  <c r="S14" i="9"/>
  <c r="R14" i="9"/>
  <c r="Q14" i="9"/>
  <c r="P14" i="9"/>
  <c r="U13" i="9"/>
  <c r="T13" i="9"/>
  <c r="S13" i="9"/>
  <c r="R13" i="9"/>
  <c r="Q13" i="9"/>
  <c r="P13" i="9"/>
  <c r="U12" i="9"/>
  <c r="T12" i="9"/>
  <c r="R12" i="9"/>
  <c r="Q12" i="9"/>
  <c r="P12" i="9"/>
  <c r="U11" i="9"/>
  <c r="T11" i="9"/>
  <c r="R11" i="9"/>
  <c r="Q11" i="9"/>
  <c r="P11" i="9"/>
  <c r="U10" i="9"/>
  <c r="T10" i="9"/>
  <c r="S10" i="9"/>
  <c r="R10" i="9"/>
  <c r="Q10" i="9"/>
  <c r="P10" i="9"/>
  <c r="U9" i="9"/>
  <c r="T9" i="9"/>
  <c r="R9" i="9"/>
  <c r="Q9" i="9"/>
  <c r="P9" i="9"/>
  <c r="U8" i="9"/>
  <c r="T8" i="9"/>
  <c r="R8" i="9"/>
  <c r="Q8" i="9"/>
  <c r="P8" i="9"/>
  <c r="U7" i="9"/>
  <c r="T7" i="9"/>
  <c r="S7" i="9"/>
  <c r="R7" i="9"/>
  <c r="R18" i="9" s="1"/>
  <c r="Q7" i="9"/>
  <c r="P7" i="9"/>
  <c r="U6" i="9"/>
  <c r="T6" i="9"/>
  <c r="R6" i="9"/>
  <c r="Q6" i="9"/>
  <c r="P6" i="9"/>
  <c r="U5" i="9"/>
  <c r="T5" i="9"/>
  <c r="R5" i="9"/>
  <c r="Q5" i="9"/>
  <c r="P5" i="9"/>
  <c r="U4" i="9"/>
  <c r="U18" i="9" s="1"/>
  <c r="T4" i="9"/>
  <c r="R4" i="9"/>
  <c r="Q4" i="9"/>
  <c r="P4" i="9"/>
  <c r="U3" i="9"/>
  <c r="T3" i="9"/>
  <c r="R3" i="9"/>
  <c r="Q3" i="9"/>
  <c r="P3" i="9"/>
  <c r="M18" i="9"/>
  <c r="J18" i="9"/>
  <c r="N18" i="9"/>
  <c r="C17" i="9"/>
  <c r="F17" i="9" s="1"/>
  <c r="C16" i="9"/>
  <c r="F16" i="9" s="1"/>
  <c r="C15" i="9"/>
  <c r="F15" i="9" s="1"/>
  <c r="C14" i="9"/>
  <c r="F14" i="9" s="1"/>
  <c r="C13" i="9"/>
  <c r="F13" i="9" s="1"/>
  <c r="C12" i="9"/>
  <c r="F12" i="9" s="1"/>
  <c r="C11" i="9"/>
  <c r="F11" i="9" s="1"/>
  <c r="C10" i="9"/>
  <c r="F10" i="9" s="1"/>
  <c r="C9" i="9"/>
  <c r="F9" i="9" s="1"/>
  <c r="C8" i="9"/>
  <c r="F8" i="9" s="1"/>
  <c r="C7" i="9"/>
  <c r="F7" i="9" s="1"/>
  <c r="C6" i="9"/>
  <c r="F6" i="9" s="1"/>
  <c r="C5" i="9"/>
  <c r="S5" i="9" s="1"/>
  <c r="C4" i="9"/>
  <c r="F4" i="9" s="1"/>
  <c r="C3" i="9"/>
  <c r="F3" i="9" s="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I145" i="1"/>
  <c r="H145" i="1"/>
  <c r="I144" i="1"/>
  <c r="H144" i="1"/>
  <c r="H143" i="1"/>
  <c r="H137" i="1"/>
  <c r="H141" i="1"/>
  <c r="H142" i="1"/>
  <c r="H138" i="1"/>
  <c r="H136" i="1"/>
  <c r="H135" i="1"/>
  <c r="H133" i="1"/>
  <c r="H140" i="1"/>
  <c r="H139" i="1"/>
  <c r="H134" i="1"/>
  <c r="D18" i="7"/>
  <c r="G17" i="7"/>
  <c r="G16" i="7"/>
  <c r="G15" i="7"/>
  <c r="G14" i="7"/>
  <c r="G13" i="7"/>
  <c r="G12" i="7"/>
  <c r="G11" i="7"/>
  <c r="G10" i="7"/>
  <c r="G9" i="7"/>
  <c r="G8" i="7"/>
  <c r="G7" i="7"/>
  <c r="G6" i="7"/>
  <c r="G5" i="7"/>
  <c r="G4" i="7"/>
  <c r="G3" i="7"/>
  <c r="G18" i="7" s="1"/>
  <c r="D9" i="5"/>
  <c r="D8" i="5"/>
  <c r="D7" i="5"/>
  <c r="D6" i="5"/>
  <c r="D5" i="5"/>
  <c r="D4" i="5"/>
  <c r="D3" i="5"/>
  <c r="A3" i="1"/>
  <c r="A9" i="1" s="1"/>
  <c r="A14" i="1" s="1"/>
  <c r="K6" i="1"/>
  <c r="K7" i="1"/>
  <c r="K11" i="1"/>
  <c r="K12" i="1"/>
  <c r="K16" i="1"/>
  <c r="K17" i="1"/>
  <c r="K21" i="1"/>
  <c r="K22" i="1"/>
  <c r="K35" i="1"/>
  <c r="K36" i="1"/>
  <c r="K51" i="1"/>
  <c r="K52" i="1"/>
  <c r="K61" i="1"/>
  <c r="K62" i="1"/>
  <c r="K82" i="1"/>
  <c r="K83" i="1"/>
  <c r="K92" i="1"/>
  <c r="K93" i="1"/>
  <c r="K97" i="1"/>
  <c r="K98" i="1"/>
  <c r="K102" i="1"/>
  <c r="K103" i="1"/>
  <c r="K107" i="1"/>
  <c r="K108" i="1"/>
  <c r="K113" i="1"/>
  <c r="K114" i="1"/>
  <c r="H35" i="1"/>
  <c r="H36" i="1" s="1"/>
  <c r="H42" i="1"/>
  <c r="H43" i="1" s="1"/>
  <c r="H44" i="1" s="1"/>
  <c r="H48" i="1"/>
  <c r="H49" i="1" s="1"/>
  <c r="H50" i="1" s="1"/>
  <c r="H5" i="1"/>
  <c r="H4" i="1"/>
  <c r="H6" i="1" s="1"/>
  <c r="H7" i="1" s="1"/>
  <c r="H10" i="1"/>
  <c r="H11" i="1" s="1"/>
  <c r="H12" i="1" s="1"/>
  <c r="L12" i="1" s="1"/>
  <c r="H15" i="1"/>
  <c r="H16" i="1" s="1"/>
  <c r="H17" i="1" s="1"/>
  <c r="L17" i="1" s="1"/>
  <c r="H20" i="1"/>
  <c r="H21" i="1" s="1"/>
  <c r="H22" i="1" s="1"/>
  <c r="H28" i="1"/>
  <c r="H27" i="1"/>
  <c r="H26" i="1"/>
  <c r="H25" i="1"/>
  <c r="H34" i="1"/>
  <c r="H41" i="1"/>
  <c r="H47" i="1"/>
  <c r="H57" i="1"/>
  <c r="H56" i="1"/>
  <c r="H58" i="1" s="1"/>
  <c r="H59" i="1" s="1"/>
  <c r="H60" i="1" s="1"/>
  <c r="H62" i="1" s="1"/>
  <c r="L62" i="1" s="1"/>
  <c r="H66" i="1"/>
  <c r="H67" i="1" s="1"/>
  <c r="H68" i="1" s="1"/>
  <c r="H69" i="1" s="1"/>
  <c r="H72" i="1"/>
  <c r="H71" i="1"/>
  <c r="H78" i="1"/>
  <c r="H77" i="1"/>
  <c r="H91" i="1"/>
  <c r="H90" i="1"/>
  <c r="H89" i="1"/>
  <c r="H88" i="1"/>
  <c r="H87" i="1"/>
  <c r="H86" i="1"/>
  <c r="H96" i="1"/>
  <c r="H97" i="1" s="1"/>
  <c r="H98" i="1" s="1"/>
  <c r="L98" i="1" s="1"/>
  <c r="H101" i="1"/>
  <c r="H102" i="1" s="1"/>
  <c r="H103" i="1" s="1"/>
  <c r="H106" i="1"/>
  <c r="H107" i="1" s="1"/>
  <c r="H108" i="1" s="1"/>
  <c r="L108" i="1" s="1"/>
  <c r="H117" i="1"/>
  <c r="H118" i="1" s="1"/>
  <c r="H119" i="1" s="1"/>
  <c r="E112" i="1"/>
  <c r="H112" i="1" s="1"/>
  <c r="E111" i="1"/>
  <c r="H111" i="1" s="1"/>
  <c r="H113" i="1" s="1"/>
  <c r="H114" i="1" s="1"/>
  <c r="L114" i="1" s="1"/>
  <c r="R18" i="10" l="1"/>
  <c r="Q18" i="10"/>
  <c r="F18" i="10"/>
  <c r="S8" i="9"/>
  <c r="S3" i="9"/>
  <c r="S11" i="9"/>
  <c r="S17" i="9"/>
  <c r="S6" i="9"/>
  <c r="S9" i="9"/>
  <c r="F5" i="9"/>
  <c r="S4" i="9"/>
  <c r="S12" i="9"/>
  <c r="F18" i="9"/>
  <c r="C18" i="9"/>
  <c r="L103" i="1"/>
  <c r="H79" i="1"/>
  <c r="H80" i="1" s="1"/>
  <c r="H81" i="1" s="1"/>
  <c r="L7" i="1"/>
  <c r="A19" i="1"/>
  <c r="H73" i="1"/>
  <c r="H74" i="1" s="1"/>
  <c r="H75" i="1" s="1"/>
  <c r="H83" i="1" s="1"/>
  <c r="L83" i="1" s="1"/>
  <c r="L22" i="1"/>
  <c r="L36" i="1"/>
  <c r="H92" i="1"/>
  <c r="H93" i="1" s="1"/>
  <c r="L93" i="1" s="1"/>
  <c r="H29" i="1"/>
  <c r="H30" i="1" s="1"/>
  <c r="H31" i="1" s="1"/>
  <c r="H52" i="1"/>
  <c r="L52" i="1" s="1"/>
  <c r="L121" i="1" l="1"/>
  <c r="L122" i="1" s="1"/>
  <c r="A24" i="1"/>
  <c r="A33" i="1" s="1"/>
  <c r="L123" i="1" l="1"/>
  <c r="L147" i="1" s="1"/>
  <c r="L148" i="1" s="1"/>
  <c r="A38" i="1"/>
  <c r="A54" i="1" s="1"/>
  <c r="L124" i="1" l="1"/>
  <c r="L125" i="1"/>
  <c r="A64" i="1"/>
  <c r="L126" i="1" l="1"/>
  <c r="M147" i="1" s="1"/>
  <c r="M148" i="1" s="1"/>
  <c r="L149" i="1" s="1"/>
  <c r="A85" i="1"/>
  <c r="A95" i="1" l="1"/>
  <c r="A100" i="1" l="1"/>
  <c r="A105" i="1" s="1"/>
  <c r="A110" i="1" l="1"/>
  <c r="A116" i="1" s="1"/>
</calcChain>
</file>

<file path=xl/sharedStrings.xml><?xml version="1.0" encoding="utf-8"?>
<sst xmlns="http://schemas.openxmlformats.org/spreadsheetml/2006/main" count="461" uniqueCount="209">
  <si>
    <t>6.33.6</t>
  </si>
  <si>
    <t xml:space="preserve"> Thermo-Mechanically Treated bars of grade Fe-500D kg or more.</t>
  </si>
  <si>
    <t>12mm dia</t>
  </si>
  <si>
    <t>rft</t>
  </si>
  <si>
    <t>Total (rft)</t>
  </si>
  <si>
    <t>Kg</t>
  </si>
  <si>
    <t>A</t>
  </si>
  <si>
    <t>8mm dia</t>
  </si>
  <si>
    <t>Ring (15*15)</t>
  </si>
  <si>
    <t>B</t>
  </si>
  <si>
    <t>Total A + B</t>
  </si>
  <si>
    <t>MS plate 12mm thickness</t>
  </si>
  <si>
    <t>sft</t>
  </si>
  <si>
    <t>Total (sft)</t>
  </si>
  <si>
    <t>Total (sqm)</t>
  </si>
  <si>
    <t>sqm</t>
  </si>
  <si>
    <t>13.30.1</t>
  </si>
  <si>
    <t>150MM SQAURE  PIPE 4mm thick</t>
  </si>
  <si>
    <t>Total (Weight for 18.361 Kg per Meter)</t>
  </si>
  <si>
    <t>truss using pipe 100*50*3mm</t>
  </si>
  <si>
    <t>Total (Weight for 6.8 Kg per Meter)</t>
  </si>
  <si>
    <t xml:space="preserve">truss using pipe </t>
  </si>
  <si>
    <t>4.14.1</t>
  </si>
  <si>
    <t>Side wall</t>
  </si>
  <si>
    <t>cft</t>
  </si>
  <si>
    <t>Toe wall</t>
  </si>
  <si>
    <t>Total (cft)</t>
  </si>
  <si>
    <t>Total (cum)</t>
  </si>
  <si>
    <t>cum</t>
  </si>
  <si>
    <t>7.22.2</t>
  </si>
  <si>
    <t>Deduction</t>
  </si>
  <si>
    <t>9.59.2</t>
  </si>
  <si>
    <t>Nos</t>
  </si>
  <si>
    <t>Total (nos)</t>
  </si>
  <si>
    <t>22.181</t>
  </si>
  <si>
    <t>Liter</t>
  </si>
  <si>
    <t>Total (liter)</t>
  </si>
  <si>
    <t>Through Rate</t>
  </si>
  <si>
    <t>22.222.2.2</t>
  </si>
  <si>
    <t>3.1.2</t>
  </si>
  <si>
    <t>5KM</t>
  </si>
  <si>
    <t>6km - 8km</t>
  </si>
  <si>
    <t>liter</t>
  </si>
  <si>
    <t>each</t>
  </si>
  <si>
    <t>Total (each)</t>
  </si>
  <si>
    <t>Take 7.21785 Kg per Meter</t>
  </si>
  <si>
    <t>meter</t>
  </si>
  <si>
    <t>Total (meter)</t>
  </si>
  <si>
    <t>Total (Weight for 7.21785 Kg per Meter)</t>
  </si>
  <si>
    <t>Take 6.8 Kg per Meter</t>
  </si>
  <si>
    <t>Take 18.361 Kg per Meter</t>
  </si>
  <si>
    <t>Take 32.4 Kg per Sqm</t>
  </si>
  <si>
    <t>Total (Weight for 32.4 Kg per Sqm)</t>
  </si>
  <si>
    <t>Total (Weight of φ8mm Rebar)</t>
  </si>
  <si>
    <t>Total (Weight of φ12mm Rebar)</t>
  </si>
  <si>
    <r>
      <t xml:space="preserve">22.222: Sanitary Installations HDPE pipes for Drainage Providing and fixing in position singel socket SWR UPVC soil waste or antisyphonage pipes as per IS 13592 of E.D.C manufacture or of any other reputed firm including cutting, jointing, wastage, but excluding cost of jointing.
</t>
    </r>
    <r>
      <rPr>
        <b/>
        <i/>
        <sz val="8"/>
        <color rgb="FF800080"/>
        <rFont val="Times New Roman"/>
        <family val="1"/>
      </rPr>
      <t xml:space="preserve">22.222.2.2: Single Socket Type B  110mm o/d SWR UPVC pipe lines laid complete
</t>
    </r>
  </si>
  <si>
    <t>litre</t>
  </si>
  <si>
    <t xml:space="preserve">22.181: Sanitary Installations LOFT AND TERRACE WATER TANKS Providing and placing on terrace (at all floor levels) polyethylene water storage tank, IS : 12701 marked, with cover and suitable locking arrangement and making necessary holes for inlet, outlet and overflow pipes but without fittings and the base support for tank.
</t>
  </si>
  <si>
    <r>
      <t xml:space="preserve">9.59: Hoisting and Roofing RAIN WATER SPOUTS AND PIPES Providing and fixing Unplasticised -PVC pipe clips of approved design to Unplasticised - PVC rain water pipes by means of 50x50x50 mm hard wood plugs, screwed with M.S. screws of required length, including cutting brick work and fixing in cement mortar 1:4 (1 cement : 4 coarse sand) and making good the wall etc. complete.
</t>
    </r>
    <r>
      <rPr>
        <b/>
        <i/>
        <sz val="9"/>
        <color rgb="FF8B0000"/>
        <rFont val="Calibri"/>
        <family val="2"/>
        <scheme val="minor"/>
      </rPr>
      <t xml:space="preserve">9.59.2: 110 mm
</t>
    </r>
  </si>
  <si>
    <r>
      <t xml:space="preserve">7.22: Brick work with common burnt clay non- modular bricks of class designation 7.5 in superstructure above plinth level up to floor IV level in all shapes and sizes in :
</t>
    </r>
    <r>
      <rPr>
        <b/>
        <i/>
        <sz val="9"/>
        <color rgb="FF8B0000"/>
        <rFont val="Times New Roman"/>
        <family val="1"/>
      </rPr>
      <t xml:space="preserve">7.22.2: Cement mortar 1:6 (1 cement : 6 coarse sand)
</t>
    </r>
  </si>
  <si>
    <t>C</t>
  </si>
  <si>
    <t>Total A + B + C</t>
  </si>
  <si>
    <t>kg</t>
  </si>
  <si>
    <r>
      <t xml:space="preserve">13.30: Steel and Iron Work SIGLE/BUILT-UP STEEL/TUBULAR SECTIONS Steel work in built up tubular (round, square or rectangular hollow tubes etc.) trusses etc., including cutting, hoisting, fixing in position and applying a priming coat of approved steel primer, including welding and bolted with special shaped washers etc. complete.
</t>
    </r>
    <r>
      <rPr>
        <b/>
        <i/>
        <sz val="9"/>
        <color rgb="FF8B0000"/>
        <rFont val="Calibri"/>
        <family val="2"/>
        <scheme val="minor"/>
      </rPr>
      <t xml:space="preserve">13.30.1: Hot finished welded type tubes
</t>
    </r>
  </si>
  <si>
    <t>Total A</t>
  </si>
  <si>
    <t>13.31</t>
  </si>
  <si>
    <t xml:space="preserve">13.31: Steel and Iron Work SIGLE/BUILT-UP STEEL/TUBULAR SECTIONS Providing and fixing mild steel round holding down bolts with nuts and washer plates complete.
</t>
  </si>
  <si>
    <r>
      <t xml:space="preserve">6.33: Steel reinforcement for R.C.C. work, where not included in the complete rate of RCC, including straightening, cutting, bending, placing in position, binding, wastage, overlaps, welded joints, spacer bars, chairs, stays, hangers and annealed steel wire etc. complete in all respect for all heights/depths/storeys/basements etc. complete in all respect below plinth level.  Note: - Reinforcement shall be measured in length including hooks, if any, separately for different diameters as actually used in work, excluding overlaps. Wastage, overlaps, couplings, welded joints, spacer bars, chairs, stays, hangers and annealed steel wire or other methods of binding and placing shall not be measured and cost of these items shall be deemed to be included in the rates for reinforcement.
</t>
    </r>
    <r>
      <rPr>
        <b/>
        <i/>
        <sz val="9"/>
        <color rgb="FF8B0000"/>
        <rFont val="Calibri"/>
        <family val="2"/>
        <scheme val="minor"/>
      </rPr>
      <t xml:space="preserve">6.33.6: Thermo-Mechanically Treated bars of grade Fe-500D or more.
</t>
    </r>
  </si>
  <si>
    <t>Beyond 5km up to 10km per KM</t>
  </si>
  <si>
    <r>
      <t xml:space="preserve">3.1: Loading, Unloading and Carriage of Materials Schedule A By Mechanical Transport including loading, unloading and stacking
</t>
    </r>
    <r>
      <rPr>
        <b/>
        <i/>
        <sz val="9"/>
        <color rgb="FF8B0000"/>
        <rFont val="Calibri"/>
        <family val="2"/>
        <scheme val="minor"/>
      </rPr>
      <t xml:space="preserve">3.1.2: Earth
</t>
    </r>
  </si>
  <si>
    <t>5km</t>
  </si>
  <si>
    <t>Rate</t>
  </si>
  <si>
    <r>
      <t xml:space="preserve">4.14: Earth Work and Rock Cutting 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t>
    </r>
    <r>
      <rPr>
        <b/>
        <i/>
        <sz val="9"/>
        <color rgb="FF8B0000"/>
        <rFont val="Calibri"/>
        <family val="2"/>
        <scheme val="minor"/>
      </rPr>
      <t xml:space="preserve">4.14.1: All kinds of soil.
</t>
    </r>
  </si>
  <si>
    <t>Depth</t>
  </si>
  <si>
    <t>Breadth</t>
  </si>
  <si>
    <t>Length</t>
  </si>
  <si>
    <t>Description</t>
  </si>
  <si>
    <t>HSR
Item No</t>
  </si>
  <si>
    <t>Sr No</t>
  </si>
  <si>
    <t>Quantity</t>
  </si>
  <si>
    <t>Unit</t>
  </si>
  <si>
    <t>Rate Type</t>
  </si>
  <si>
    <t>Amount</t>
  </si>
  <si>
    <t>End</t>
  </si>
  <si>
    <t>Total</t>
  </si>
  <si>
    <t>any +/-</t>
  </si>
  <si>
    <t>Total Amount</t>
  </si>
  <si>
    <t>Add 18% GST</t>
  </si>
  <si>
    <t>Contingency</t>
  </si>
  <si>
    <t>GRAND TOTAL</t>
  </si>
  <si>
    <t>Estimate of Ramfal Building</t>
  </si>
  <si>
    <t>manual description</t>
  </si>
  <si>
    <t>nos</t>
  </si>
  <si>
    <t>NS</t>
  </si>
  <si>
    <t>Steel Summary (Sample)</t>
  </si>
  <si>
    <t>Quantity (KG)</t>
  </si>
  <si>
    <t>Weight of φ12mm Rebar (Kg)</t>
  </si>
  <si>
    <t>Weight of φ8mm Rebar (Kg)</t>
  </si>
  <si>
    <t>Weight for 32.4 Kg per Sqm (Kg)</t>
  </si>
  <si>
    <t>Weight for 18.361 Kg per Meter (Kg)</t>
  </si>
  <si>
    <t>Weight for 6.8 Kg per Meter (Kg)</t>
  </si>
  <si>
    <t>Weight for 7.21785 Kg per Meter (Kg)</t>
  </si>
  <si>
    <t>Abstract Summary of: Sample</t>
  </si>
  <si>
    <t>Sr.</t>
  </si>
  <si>
    <t>Item No</t>
  </si>
  <si>
    <t>Qty</t>
  </si>
  <si>
    <t>4.14: Earth Work and Rock Cutting 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4.14.1: All kinds of soil.
(Through Rate)</t>
  </si>
  <si>
    <t>3.1: Loading, Unloading and Carriage of Materials Schedule A By Mechanical Transport including loading, unloading and stacking
3.1.2: Earth
(5km)</t>
  </si>
  <si>
    <t>3.1: Loading, Unloading and Carriage of Materials Schedule A By Mechanical Transport including loading, unloading and stacking
3.1.2: Earth
(Beyond 5km up to 10km per KM)</t>
  </si>
  <si>
    <t>22.181: Sanitary Installations LOFT AND TERRACE WATER TANKS Providing and placing on terrace (at all floor levels) polyethylene water storage tank, IS : 12701 marked, with cover and suitable locking arrangement and making necessary holes for inlet, outlet and overflow pipes but without fittings and the base support for tank.
(Through Rate)</t>
  </si>
  <si>
    <t>manual description(NS)</t>
  </si>
  <si>
    <t>Material</t>
  </si>
  <si>
    <t>Gst</t>
  </si>
  <si>
    <t>Amount + Gst</t>
  </si>
  <si>
    <t>Cement (Bags)</t>
  </si>
  <si>
    <t>Tibba Sand (Cft)</t>
  </si>
  <si>
    <t>Cresher (Cft)</t>
  </si>
  <si>
    <t>Bricks Non Modular (Nos)</t>
  </si>
  <si>
    <t>Pvc Pipe Clips 110mm (Each)</t>
  </si>
  <si>
    <t>Ms Bolt &amp; Plate (Kg)</t>
  </si>
  <si>
    <t>Tublar Pipe (Kg)</t>
  </si>
  <si>
    <t>UPVC pipe 110mm dia</t>
  </si>
  <si>
    <t>water storage tanki</t>
  </si>
  <si>
    <t>Bags</t>
  </si>
  <si>
    <t>Cft</t>
  </si>
  <si>
    <t>NS -  PAN :- manual description</t>
  </si>
  <si>
    <t>Total Amount for Materials</t>
  </si>
  <si>
    <t>Labour</t>
  </si>
  <si>
    <t>Grand Total</t>
  </si>
  <si>
    <t xml:space="preserve">Grand Total (including GST) : </t>
  </si>
  <si>
    <t>HSR</t>
  </si>
  <si>
    <t>6.34.6</t>
  </si>
  <si>
    <t>steel weight</t>
  </si>
  <si>
    <t>Total (kg)</t>
  </si>
  <si>
    <r>
      <t xml:space="preserve">6.34: Steel reinforcement for R.C.C. work, where not included in the complete rate of RCC, including straightening, cutting, bending, placing in position, binding, wastage, overlaps, welded joints, spacer bars, chairs, stays, hangers and annealed steel wire etc. complete in all respect above plinth level. Note:- Reinforcement shall be measured in length including hooks, if any, separately for different diameters as actually used in work , excluding overlaps. Wastage, overlaps, couplings, welded joints, spacer bars, chairs, stays, hangers and annealed steel wire or other methods of binding &amp; placing shall not be measured and cost of these items shall be deemed to be included in the rates for reinforcement.
</t>
    </r>
    <r>
      <rPr>
        <b/>
        <i/>
        <sz val="9"/>
        <color rgb="FF8B0000"/>
        <rFont val="Calibri"/>
        <family val="2"/>
        <scheme val="minor"/>
      </rPr>
      <t xml:space="preserve">6.34.6: Thermo-Mechanically Treated bars of grade Fe-500D or more.
</t>
    </r>
  </si>
  <si>
    <t>Columns</t>
  </si>
  <si>
    <t xml:space="preserve">CA044: Spun iron S &amp; S pipes 125 mm dia
</t>
  </si>
  <si>
    <t>Total (Per 100 meters)</t>
  </si>
  <si>
    <t>2.RM079</t>
  </si>
  <si>
    <t>2.CA044</t>
  </si>
  <si>
    <t>(L1+L2)/2</t>
  </si>
  <si>
    <t>some thing [Avg: (1+3)/2 = 2]</t>
  </si>
  <si>
    <t>some thing [Avg: (2+4)/2 = 3]</t>
  </si>
  <si>
    <t>Labour Rate Amnd</t>
  </si>
  <si>
    <t>6.30.1</t>
  </si>
  <si>
    <t>NS -  PAN</t>
  </si>
  <si>
    <t>Labour Rate</t>
  </si>
  <si>
    <r>
      <t xml:space="preserve">6.30: Concrete and RCC Work I CENTRING AND SHUTTERING (FORM WORK) Centering and shuttering including strutting, propping etc. and removal of form for
</t>
    </r>
    <r>
      <rPr>
        <b/>
        <i/>
        <sz val="9"/>
        <color rgb="FF8B0000"/>
        <rFont val="Calibri"/>
        <family val="2"/>
        <scheme val="minor"/>
      </rPr>
      <t xml:space="preserve">6.30.1: Foundations, footings, bases of columns, etc. for mass concrete
</t>
    </r>
  </si>
  <si>
    <t xml:space="preserve">2.RM079: Earth Cost or compensation for earth taken from private land
</t>
  </si>
  <si>
    <t>1</t>
  </si>
  <si>
    <t>2</t>
  </si>
  <si>
    <t>2.RM079: Earth Cost or compensation for earth taken from private land
(Rate)</t>
  </si>
  <si>
    <t>3</t>
  </si>
  <si>
    <t>4</t>
  </si>
  <si>
    <t>5</t>
  </si>
  <si>
    <t>CA044: Spun iron S &amp; S pipes 125 mm dia
(NS)</t>
  </si>
  <si>
    <t>6</t>
  </si>
  <si>
    <t>6.34: Steel reinforcement for R.C.C. work, where not included in the complete rate of RCC, including straightening, cutting, bending, placing in position, binding, wastage, overlaps, welded joints, spacer bars, chairs, stays, hangers and annealed steel wire etc. complete in all respect above plinth level. Note:- Reinforcement shall be measured in length including hooks, if any, separately for different diameters as actually used in work , excluding overlaps. Wastage, overlaps, couplings, welded joints, spacer bars, chairs, stays, hangers and annealed steel wire or other methods of binding &amp; placing shall not be measured and cost of these items shall be deemed to be included in the rates for reinforcement.
6.34.6: Thermo-Mechanically Treated bars of grade Fe-500D or more.
(Labour Rate Amnd)</t>
  </si>
  <si>
    <t>7</t>
  </si>
  <si>
    <t>6.33: Steel reinforcement for R.C.C. work, where not included in the complete rate of RCC, including straightening, cutting, bending, placing in position, binding, wastage, overlaps, welded joints, spacer bars, chairs, stays, hangers and annealed steel wire etc. complete in all respect for all heights/depths/storeys/basements etc. complete in all respect below plinth level.  Note: - Reinforcement shall be measured in length including hooks, if any, separately for different diameters as actually used in work, excluding overlaps. Wastage, overlaps, couplings, welded joints, spacer bars, chairs, stays, hangers and annealed steel wire or other methods of binding and placing shall not be measured and cost of these items shall be deemed to be included in the rates for reinforcement.
6.33.6: Thermo-Mechanically Treated bars of grade Fe-500D or more.
(Labour Rate Amnd)</t>
  </si>
  <si>
    <t>8</t>
  </si>
  <si>
    <t>13.31: Steel and Iron Work SIGLE/BUILT-UP STEEL/TUBULAR SECTIONS Providing and fixing mild steel round holding down bolts with nuts and washer plates complete.
(Labour Rate)</t>
  </si>
  <si>
    <t>9</t>
  </si>
  <si>
    <t>13.30: Steel and Iron Work SIGLE/BUILT-UP STEEL/TUBULAR SECTIONS Steel work in built up tubular (round, square or rectangular hollow tubes etc.) trusses etc., including cutting, hoisting, fixing in position and applying a priming coat of approved steel primer, including welding and bolted with special shaped washers etc. complete.
13.30.1: Hot finished welded type tubes
(Labour Rate)</t>
  </si>
  <si>
    <t>10</t>
  </si>
  <si>
    <t>7.22: Brick work with common burnt clay non- modular bricks of class designation 7.5 in superstructure above plinth level up to floor IV level in all shapes and sizes in :
7.22.2: Cement mortar 1:6 (1 cement : 6 coarse sand)
(Labour Rate Amnd)</t>
  </si>
  <si>
    <t>11</t>
  </si>
  <si>
    <t>9.59: Hoisting and Roofing RAIN WATER SPOUTS AND PIPES Providing and fixing Unplasticised -PVC pipe clips of approved design to Unplasticised - PVC rain water pipes by means of 50x50x50 mm hard wood plugs, screwed with M.S. screws of required length, including cutting brick work and fixing in cement mortar 1:4 (1 cement : 4 coarse sand) and making good the wall etc. complete.
9.59.2: 110 mm
(Labour Rate)</t>
  </si>
  <si>
    <t>12</t>
  </si>
  <si>
    <t>13</t>
  </si>
  <si>
    <t>22.222: Sanitary Installations HDPE pipes for Drainage Providing and fixing in position singel socket SWR UPVC soil waste or antisyphonage pipes as per IS 13592 of E.D.C manufacture or of any other reputed firm including cutting, jointing, wastage, but excluding cost of jointing.
22.222.2.2: Single Socket Type B  110mm o/d SWR UPVC pipe lines laid complete
(Labour Rate)</t>
  </si>
  <si>
    <t>14</t>
  </si>
  <si>
    <t>6.30: Concrete and RCC Work I CENTRING AND SHUTTERING (FORM WORK) Centering and shuttering including strutting, propping etc. and removal of form for
6.30.1: Foundations, footings, bases of columns, etc. for mass concrete
(Labour Rate)</t>
  </si>
  <si>
    <t>15</t>
  </si>
  <si>
    <t>Steel Shuttering (Sft)</t>
  </si>
  <si>
    <t>Water</t>
  </si>
  <si>
    <t>Sft</t>
  </si>
  <si>
    <t>Rs</t>
  </si>
  <si>
    <t>2.CA044 :- CA044: Spun iron S &amp; S pipes 125 mm dia</t>
  </si>
  <si>
    <t>4.14.1:Through Rate</t>
  </si>
  <si>
    <t>2.RM079:Rate</t>
  </si>
  <si>
    <t>3.1.2:5km</t>
  </si>
  <si>
    <t>3.1.2:Beyond 5km up</t>
  </si>
  <si>
    <t>2.CA044:NS</t>
  </si>
  <si>
    <t>6.34.6:Labour Rate</t>
  </si>
  <si>
    <t>6.33.6:Labour Rate</t>
  </si>
  <si>
    <t>13.31:Labour Rate</t>
  </si>
  <si>
    <t>13.30.1:Labour Rate</t>
  </si>
  <si>
    <t>7.22.2:Labour Rate</t>
  </si>
  <si>
    <t>9.59.2:Labour Rate</t>
  </si>
  <si>
    <t>22.181:Through Rate</t>
  </si>
  <si>
    <t>22.222.2.2:Labour Rate</t>
  </si>
  <si>
    <t>6.30.1:Labour Rate</t>
  </si>
  <si>
    <t xml:space="preserve">NS - </t>
  </si>
  <si>
    <t>Data from Sample</t>
  </si>
  <si>
    <t>Remaining DNIT Qty</t>
  </si>
  <si>
    <t>Differences (Contractor POV)</t>
  </si>
  <si>
    <t>Qty Diff</t>
  </si>
  <si>
    <t>DNIT Diff</t>
  </si>
  <si>
    <t>Contractor Action</t>
  </si>
  <si>
    <t>JE Action</t>
  </si>
  <si>
    <t>Portal data not found</t>
  </si>
  <si>
    <t>Unit.</t>
  </si>
  <si>
    <t>DNIT Qty</t>
  </si>
  <si>
    <t>Previously Executed Qty</t>
  </si>
  <si>
    <t>Differences (Engineer POV)</t>
  </si>
  <si>
    <t>Qty Variation</t>
  </si>
  <si>
    <t>Amount Variation</t>
  </si>
  <si>
    <t>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</si>
</sst>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quot;&quot;"/>
    <numFmt numFmtId="166" formatCode="#,##0.000"/>
    <numFmt numFmtId="167" formatCode="_(* #,##0_);_(* \(#,##0\);_(* &quot;-&quot;??_);_(@_)"/>
    <numFmt numFmtId="168" formatCode="0.000%"/>
    <numFmt numFmtId="169" formatCode="_(* #,##0_);_(* \-#,##0_);_(* &quot;-&quot;??_);_(@_)"/>
  </numFmts>
  <fonts count="32" x14ac:knownFonts="1">
    <font>
      <sz val="11"/>
      <color theme="1"/>
      <name val="Calibri"/>
      <family val="2"/>
      <scheme val="minor"/>
    </font>
    <font>
      <b/>
      <sz val="11"/>
      <color theme="1"/>
      <name val="Calibri"/>
      <family val="2"/>
      <scheme val="minor"/>
    </font>
    <font>
      <b/>
      <sz val="12"/>
      <name val="Times New Roman"/>
      <family val="1"/>
    </font>
    <font>
      <sz val="12"/>
      <name val="Times New Roman"/>
      <family val="1"/>
    </font>
    <font>
      <b/>
      <i/>
      <sz val="12"/>
      <color rgb="FFFF0000"/>
      <name val="Times New Roman"/>
      <family val="1"/>
    </font>
    <font>
      <b/>
      <i/>
      <sz val="10"/>
      <color rgb="FF006400"/>
      <name val="Times New Roman"/>
      <family val="1"/>
    </font>
    <font>
      <b/>
      <i/>
      <sz val="9"/>
      <color rgb="FF8B0000"/>
      <name val="Times New Roman"/>
      <family val="1"/>
    </font>
    <font>
      <sz val="11"/>
      <name val="Times New Roman"/>
      <family val="1"/>
    </font>
    <font>
      <b/>
      <sz val="11"/>
      <name val="Times New Roman"/>
      <family val="1"/>
    </font>
    <font>
      <b/>
      <i/>
      <sz val="8"/>
      <color rgb="FF800080"/>
      <name val="Times New Roman"/>
      <family val="1"/>
    </font>
    <font>
      <sz val="11"/>
      <color theme="1"/>
      <name val="Times New Roman"/>
      <family val="1"/>
    </font>
    <font>
      <b/>
      <sz val="11"/>
      <color theme="1"/>
      <name val="Times New Roman"/>
      <family val="1"/>
    </font>
    <font>
      <b/>
      <i/>
      <sz val="11"/>
      <color rgb="FFFF0000"/>
      <name val="Times New Roman"/>
      <family val="1"/>
    </font>
    <font>
      <b/>
      <sz val="11"/>
      <color rgb="FF7030A0"/>
      <name val="Times New Roman"/>
      <family val="1"/>
    </font>
    <font>
      <b/>
      <sz val="11"/>
      <color rgb="FF00B050"/>
      <name val="Times New Roman"/>
      <family val="1"/>
    </font>
    <font>
      <b/>
      <i/>
      <sz val="10"/>
      <color rgb="FF006400"/>
      <name val="Calibri"/>
      <family val="2"/>
      <scheme val="minor"/>
    </font>
    <font>
      <b/>
      <i/>
      <sz val="9"/>
      <color rgb="FF8B0000"/>
      <name val="Calibri"/>
      <family val="2"/>
      <scheme val="minor"/>
    </font>
    <font>
      <b/>
      <sz val="11"/>
      <color rgb="FFFF0000"/>
      <name val="Calibri"/>
      <family val="2"/>
      <scheme val="minor"/>
    </font>
    <font>
      <b/>
      <sz val="12"/>
      <color theme="1"/>
      <name val="Calibri"/>
      <family val="2"/>
      <scheme val="minor"/>
    </font>
    <font>
      <b/>
      <sz val="12"/>
      <color theme="1"/>
      <name val="Times New Roman"/>
      <family val="1"/>
    </font>
    <font>
      <b/>
      <sz val="12"/>
      <color rgb="FFFF0000"/>
      <name val="Times New Roman"/>
      <family val="1"/>
    </font>
    <font>
      <b/>
      <i/>
      <sz val="12"/>
      <color rgb="FF000000"/>
      <name val="Times New Roman"/>
      <family val="1"/>
    </font>
    <font>
      <b/>
      <i/>
      <sz val="14"/>
      <color rgb="FF000000"/>
      <name val="Times New Roman"/>
      <family val="1"/>
    </font>
    <font>
      <b/>
      <sz val="11"/>
      <color rgb="FF000000"/>
      <name val="Times New Roman"/>
      <family val="1"/>
    </font>
    <font>
      <b/>
      <sz val="11"/>
      <color rgb="FF000000"/>
      <name val="Calibri"/>
      <family val="2"/>
      <scheme val="minor"/>
    </font>
    <font>
      <sz val="12"/>
      <color theme="1"/>
      <name val="Calibri"/>
      <family val="2"/>
      <scheme val="minor"/>
    </font>
    <font>
      <b/>
      <sz val="24"/>
      <color theme="1"/>
      <name val="Calibri"/>
      <family val="2"/>
      <scheme val="minor"/>
    </font>
    <font>
      <sz val="10"/>
      <color theme="1"/>
      <name val="Calibri"/>
      <family val="2"/>
      <scheme val="minor"/>
    </font>
    <font>
      <b/>
      <sz val="13"/>
      <color theme="1"/>
      <name val="Calibri"/>
      <family val="2"/>
      <scheme val="minor"/>
    </font>
    <font>
      <b/>
      <sz val="14"/>
      <color rgb="FF000000"/>
      <name val="Times New Roman"/>
      <family val="1"/>
    </font>
    <font>
      <b/>
      <sz val="12"/>
      <color rgb="FF000000"/>
      <name val="Times New Roman"/>
      <family val="1"/>
    </font>
    <font>
      <b/>
      <sz val="11"/>
      <color rgb="FF00008B"/>
      <name val="Times New Roman"/>
      <family val="1"/>
    </font>
  </fonts>
  <fills count="18">
    <fill>
      <patternFill patternType="none"/>
    </fill>
    <fill>
      <patternFill patternType="gray125"/>
    </fill>
    <fill>
      <patternFill patternType="solid">
        <fgColor rgb="FFFFFFC8"/>
        <bgColor indexed="64"/>
      </patternFill>
    </fill>
    <fill>
      <patternFill patternType="solid">
        <fgColor rgb="FFDCFFDC"/>
        <bgColor indexed="64"/>
      </patternFill>
    </fill>
    <fill>
      <patternFill patternType="solid">
        <fgColor rgb="FFDCE6FF"/>
        <bgColor indexed="64"/>
      </patternFill>
    </fill>
    <fill>
      <patternFill patternType="solid">
        <fgColor rgb="FFC8FFC8"/>
        <bgColor indexed="64"/>
      </patternFill>
    </fill>
    <fill>
      <patternFill patternType="solid">
        <fgColor rgb="FFF0F0F0"/>
        <bgColor indexed="64"/>
      </patternFill>
    </fill>
    <fill>
      <patternFill patternType="solid">
        <fgColor rgb="FFFFE699"/>
        <bgColor indexed="64"/>
      </patternFill>
    </fill>
    <fill>
      <patternFill patternType="solid">
        <fgColor rgb="FFFFE6C8"/>
        <bgColor indexed="64"/>
      </patternFill>
    </fill>
    <fill>
      <patternFill patternType="solid">
        <fgColor rgb="FFFFFF99"/>
        <bgColor indexed="64"/>
      </patternFill>
    </fill>
    <fill>
      <patternFill patternType="solid">
        <fgColor rgb="FFFAFA00"/>
        <bgColor indexed="64"/>
      </patternFill>
    </fill>
    <fill>
      <patternFill patternType="solid">
        <fgColor rgb="FFDDE9C2"/>
        <bgColor indexed="64"/>
      </patternFill>
    </fill>
    <fill>
      <patternFill patternType="solid">
        <fgColor rgb="FFC5E8C3"/>
        <bgColor indexed="64"/>
      </patternFill>
    </fill>
    <fill>
      <patternFill patternType="solid">
        <fgColor rgb="FFC3E8E5"/>
        <bgColor indexed="64"/>
      </patternFill>
    </fill>
    <fill>
      <patternFill patternType="solid">
        <fgColor rgb="FFC3C5E8"/>
        <bgColor indexed="64"/>
      </patternFill>
    </fill>
    <fill>
      <patternFill patternType="solid">
        <fgColor rgb="FFE5C3E8"/>
        <bgColor indexed="64"/>
      </patternFill>
    </fill>
    <fill>
      <patternFill patternType="solid">
        <fgColor rgb="FFE8C3C5"/>
        <bgColor indexed="64"/>
      </patternFill>
    </fill>
    <fill>
      <patternFill patternType="solid">
        <fgColor rgb="FFE8E5C3"/>
        <bgColor indexed="64"/>
      </patternFill>
    </fill>
  </fills>
  <borders count="47">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auto="1"/>
      </top>
      <bottom style="thin">
        <color auto="1"/>
      </bottom>
      <diagonal/>
    </border>
    <border>
      <left style="thin">
        <color indexed="64"/>
      </left>
      <right style="thin">
        <color indexed="64"/>
      </right>
      <top style="thin">
        <color auto="1"/>
      </top>
      <bottom/>
      <diagonal/>
    </border>
    <border>
      <left style="thin">
        <color indexed="64"/>
      </left>
      <right/>
      <top style="thin">
        <color indexed="64"/>
      </top>
      <bottom/>
      <diagonal/>
    </border>
    <border>
      <left/>
      <right style="thin">
        <color indexed="64"/>
      </right>
      <top style="thin">
        <color auto="1"/>
      </top>
      <bottom/>
      <diagonal/>
    </border>
    <border>
      <left style="thin">
        <color indexed="64"/>
      </left>
      <right/>
      <top/>
      <bottom style="thin">
        <color indexed="64"/>
      </bottom>
      <diagonal/>
    </border>
    <border>
      <left/>
      <right/>
      <top/>
      <bottom style="thin">
        <color indexed="64"/>
      </bottom>
      <diagonal/>
    </border>
    <border>
      <left style="thick">
        <color indexed="64"/>
      </left>
      <right style="thin">
        <color indexed="64"/>
      </right>
      <top style="thin">
        <color auto="1"/>
      </top>
      <bottom style="thin">
        <color auto="1"/>
      </bottom>
      <diagonal/>
    </border>
    <border>
      <left style="thick">
        <color indexed="64"/>
      </left>
      <right style="thin">
        <color indexed="64"/>
      </right>
      <top style="thick">
        <color auto="1"/>
      </top>
      <bottom style="thin">
        <color auto="1"/>
      </bottom>
      <diagonal/>
    </border>
    <border>
      <left style="thin">
        <color indexed="64"/>
      </left>
      <right style="thin">
        <color indexed="64"/>
      </right>
      <top style="thick">
        <color auto="1"/>
      </top>
      <bottom style="thin">
        <color auto="1"/>
      </bottom>
      <diagonal/>
    </border>
    <border>
      <left/>
      <right style="thin">
        <color indexed="64"/>
      </right>
      <top/>
      <bottom style="thin">
        <color indexed="64"/>
      </bottom>
      <diagonal/>
    </border>
    <border>
      <left style="thick">
        <color indexed="64"/>
      </left>
      <right/>
      <top style="thin">
        <color indexed="64"/>
      </top>
      <bottom style="thin">
        <color indexed="64"/>
      </bottom>
      <diagonal/>
    </border>
    <border>
      <left style="thick">
        <color indexed="64"/>
      </left>
      <right/>
      <top/>
      <bottom style="thin">
        <color indexed="64"/>
      </bottom>
      <diagonal/>
    </border>
    <border>
      <left style="thin">
        <color indexed="64"/>
      </left>
      <right style="thin">
        <color auto="1"/>
      </right>
      <top style="thin">
        <color auto="1"/>
      </top>
      <bottom style="thin">
        <color auto="1"/>
      </bottom>
      <diagonal/>
    </border>
    <border>
      <left/>
      <right style="thick">
        <color indexed="64"/>
      </right>
      <top style="thin">
        <color auto="1"/>
      </top>
      <bottom style="thin">
        <color auto="1"/>
      </bottom>
      <diagonal/>
    </border>
    <border>
      <left style="thin">
        <color indexed="64"/>
      </left>
      <right style="thick">
        <color indexed="64"/>
      </right>
      <top style="thin">
        <color auto="1"/>
      </top>
      <bottom style="thin">
        <color auto="1"/>
      </bottom>
      <diagonal/>
    </border>
    <border>
      <left/>
      <right style="thick">
        <color indexed="64"/>
      </right>
      <top/>
      <bottom style="thin">
        <color indexed="64"/>
      </bottom>
      <diagonal/>
    </border>
    <border>
      <left style="thick">
        <color indexed="64"/>
      </left>
      <right/>
      <top style="thin">
        <color indexed="64"/>
      </top>
      <bottom style="thick">
        <color indexed="64"/>
      </bottom>
      <diagonal/>
    </border>
    <border>
      <left/>
      <right/>
      <top style="thin">
        <color indexed="64"/>
      </top>
      <bottom style="thick">
        <color indexed="64"/>
      </bottom>
      <diagonal/>
    </border>
    <border>
      <left/>
      <right style="thick">
        <color indexed="64"/>
      </right>
      <top style="thin">
        <color indexed="64"/>
      </top>
      <bottom style="thick">
        <color indexed="64"/>
      </bottom>
      <diagonal/>
    </border>
    <border>
      <left style="thin">
        <color indexed="64"/>
      </left>
      <right style="thick">
        <color indexed="64"/>
      </right>
      <top style="thick">
        <color auto="1"/>
      </top>
      <bottom style="thin">
        <color auto="1"/>
      </bottom>
      <diagonal/>
    </border>
    <border>
      <left style="thick">
        <color indexed="64"/>
      </left>
      <right style="thin">
        <color indexed="64"/>
      </right>
      <top style="thin">
        <color auto="1"/>
      </top>
      <bottom style="thick">
        <color auto="1"/>
      </bottom>
      <diagonal/>
    </border>
    <border>
      <left style="thin">
        <color indexed="64"/>
      </left>
      <right style="thin">
        <color indexed="64"/>
      </right>
      <top style="thin">
        <color auto="1"/>
      </top>
      <bottom style="thick">
        <color auto="1"/>
      </bottom>
      <diagonal/>
    </border>
    <border>
      <left style="thin">
        <color indexed="64"/>
      </left>
      <right style="thick">
        <color indexed="64"/>
      </right>
      <top style="thin">
        <color auto="1"/>
      </top>
      <bottom style="thick">
        <color auto="1"/>
      </bottom>
      <diagonal/>
    </border>
    <border>
      <left style="thin">
        <color indexed="64"/>
      </left>
      <right style="thin">
        <color auto="1"/>
      </right>
      <top/>
      <bottom style="thin">
        <color auto="1"/>
      </bottom>
      <diagonal/>
    </border>
    <border>
      <left style="thin">
        <color indexed="64"/>
      </left>
      <right style="thin">
        <color indexed="64"/>
      </right>
      <top style="medium">
        <color auto="1"/>
      </top>
      <bottom style="thin">
        <color auto="1"/>
      </bottom>
      <diagonal/>
    </border>
    <border>
      <left/>
      <right/>
      <top style="thin">
        <color indexed="64"/>
      </top>
      <bottom style="medium">
        <color indexed="64"/>
      </bottom>
      <diagonal/>
    </border>
    <border>
      <left style="thick">
        <color indexed="64"/>
      </left>
      <right/>
      <top/>
      <bottom style="thick">
        <color auto="1"/>
      </bottom>
      <diagonal/>
    </border>
    <border>
      <left/>
      <right/>
      <top/>
      <bottom style="thick">
        <color auto="1"/>
      </bottom>
      <diagonal/>
    </border>
    <border>
      <left/>
      <right style="thick">
        <color indexed="64"/>
      </right>
      <top/>
      <bottom style="thick">
        <color auto="1"/>
      </bottom>
      <diagonal/>
    </border>
    <border>
      <left style="thin">
        <color indexed="64"/>
      </left>
      <right style="thin">
        <color auto="1"/>
      </right>
      <top/>
      <bottom style="thin">
        <color indexed="64"/>
      </bottom>
      <diagonal/>
    </border>
    <border>
      <left style="thin">
        <color indexed="64"/>
      </left>
      <right style="thin">
        <color auto="1"/>
      </right>
      <top style="thin">
        <color auto="1"/>
      </top>
      <bottom style="thin">
        <color auto="1"/>
      </bottom>
      <diagonal/>
    </border>
    <border>
      <left style="medium">
        <color auto="1"/>
      </left>
      <right/>
      <top style="thin">
        <color auto="1"/>
      </top>
      <bottom style="thin">
        <color indexed="64"/>
      </bottom>
      <diagonal/>
    </border>
    <border>
      <left style="medium">
        <color auto="1"/>
      </left>
      <right/>
      <top/>
      <bottom style="thin">
        <color indexed="64"/>
      </bottom>
      <diagonal/>
    </border>
    <border>
      <left style="medium">
        <color auto="1"/>
      </left>
      <right style="thin">
        <color auto="1"/>
      </right>
      <top style="medium">
        <color auto="1"/>
      </top>
      <bottom style="thin">
        <color auto="1"/>
      </bottom>
      <diagonal/>
    </border>
    <border>
      <left style="medium">
        <color auto="1"/>
      </left>
      <right/>
      <top style="thin">
        <color auto="1"/>
      </top>
      <bottom style="medium">
        <color indexed="64"/>
      </bottom>
      <diagonal/>
    </border>
    <border>
      <left style="thin">
        <color indexed="64"/>
      </left>
      <right style="thin">
        <color auto="1"/>
      </right>
      <top style="thin">
        <color auto="1"/>
      </top>
      <bottom style="medium">
        <color indexed="64"/>
      </bottom>
      <diagonal/>
    </border>
    <border>
      <left style="thin">
        <color indexed="64"/>
      </left>
      <right style="medium">
        <color auto="1"/>
      </right>
      <top style="medium">
        <color auto="1"/>
      </top>
      <bottom style="thin">
        <color auto="1"/>
      </bottom>
      <diagonal/>
    </border>
    <border>
      <left style="thin">
        <color indexed="64"/>
      </left>
      <right style="medium">
        <color auto="1"/>
      </right>
      <top style="thin">
        <color auto="1"/>
      </top>
      <bottom style="thin">
        <color auto="1"/>
      </bottom>
      <diagonal/>
    </border>
    <border>
      <left/>
      <right style="medium">
        <color auto="1"/>
      </right>
      <top/>
      <bottom style="thin">
        <color indexed="64"/>
      </bottom>
      <diagonal/>
    </border>
    <border>
      <left/>
      <right style="medium">
        <color auto="1"/>
      </right>
      <top style="thin">
        <color indexed="64"/>
      </top>
      <bottom style="thin">
        <color indexed="64"/>
      </bottom>
      <diagonal/>
    </border>
    <border>
      <left/>
      <right style="medium">
        <color auto="1"/>
      </right>
      <top style="thin">
        <color indexed="64"/>
      </top>
      <bottom style="medium">
        <color indexed="64"/>
      </bottom>
      <diagonal/>
    </border>
    <border diagonalUp="1">
      <left/>
      <right style="medium">
        <color auto="1"/>
      </right>
      <top/>
      <bottom/>
      <diagonal style="mediumDashDot">
        <color rgb="FF000000"/>
      </diagonal>
    </border>
    <border>
      <left style="mediumDashDot">
        <color rgb="FF000000"/>
      </left>
      <right style="medium">
        <color auto="1"/>
      </right>
      <top/>
      <bottom/>
      <diagonal/>
    </border>
    <border diagonalDown="1">
      <left/>
      <right style="medium">
        <color auto="1"/>
      </right>
      <top/>
      <bottom/>
      <diagonal style="mediumDashDot">
        <color rgb="FF000000"/>
      </diagonal>
    </border>
  </borders>
  <cellStyleXfs count="1">
    <xf numFmtId="0" fontId="0" fillId="0" borderId="0"/>
  </cellStyleXfs>
  <cellXfs count="326">
    <xf numFmtId="0" fontId="0" fillId="0" borderId="0" xfId="0"/>
    <xf numFmtId="0" fontId="0" fillId="0" borderId="0" xfId="0" applyAlignment="1">
      <alignment vertical="center"/>
    </xf>
    <xf numFmtId="0" fontId="0" fillId="0" borderId="0" xfId="0" applyAlignment="1">
      <alignment horizontal="center" vertical="center"/>
    </xf>
    <xf numFmtId="0" fontId="1" fillId="0" borderId="0" xfId="0" applyFont="1"/>
    <xf numFmtId="0" fontId="1" fillId="0" borderId="0" xfId="0" applyFont="1" applyAlignment="1">
      <alignment vertical="center"/>
    </xf>
    <xf numFmtId="0" fontId="1" fillId="4" borderId="9" xfId="0" applyFont="1" applyFill="1" applyBorder="1" applyAlignment="1">
      <alignment horizontal="center" vertical="center"/>
    </xf>
    <xf numFmtId="0" fontId="1" fillId="7" borderId="17" xfId="0" applyFont="1" applyFill="1" applyBorder="1" applyAlignment="1">
      <alignment horizontal="center" vertical="center"/>
    </xf>
    <xf numFmtId="167" fontId="1" fillId="4" borderId="17" xfId="0" applyNumberFormat="1" applyFont="1" applyFill="1" applyBorder="1" applyAlignment="1">
      <alignment horizontal="center" vertical="center"/>
    </xf>
    <xf numFmtId="0" fontId="0" fillId="5" borderId="2" xfId="0" applyFill="1" applyBorder="1" applyAlignment="1">
      <alignment horizontal="center" vertical="center" wrapText="1"/>
    </xf>
    <xf numFmtId="0" fontId="0" fillId="8" borderId="2" xfId="0" applyFill="1" applyBorder="1" applyAlignment="1">
      <alignment horizontal="right" vertical="center"/>
    </xf>
    <xf numFmtId="0" fontId="24" fillId="9" borderId="8" xfId="0" applyFont="1" applyFill="1" applyBorder="1" applyAlignment="1">
      <alignment horizontal="centerContinuous"/>
    </xf>
    <xf numFmtId="0" fontId="23" fillId="9" borderId="13" xfId="0" applyFont="1" applyFill="1" applyBorder="1" applyAlignment="1">
      <alignment horizontal="centerContinuous" vertical="center" wrapText="1"/>
    </xf>
    <xf numFmtId="168" fontId="24" fillId="9" borderId="2" xfId="0" applyNumberFormat="1" applyFont="1" applyFill="1" applyBorder="1" applyAlignment="1">
      <alignment horizontal="centerContinuous" vertical="center"/>
    </xf>
    <xf numFmtId="169" fontId="24" fillId="9" borderId="16" xfId="0" applyNumberFormat="1" applyFont="1" applyFill="1" applyBorder="1" applyAlignment="1">
      <alignment horizontal="center" vertical="center"/>
    </xf>
    <xf numFmtId="0" fontId="24" fillId="9" borderId="2" xfId="0" applyFont="1" applyFill="1" applyBorder="1" applyAlignment="1">
      <alignment horizontal="centerContinuous"/>
    </xf>
    <xf numFmtId="167" fontId="24" fillId="9" borderId="16" xfId="0" applyNumberFormat="1" applyFont="1" applyFill="1" applyBorder="1" applyAlignment="1">
      <alignment horizontal="center" vertical="center"/>
    </xf>
    <xf numFmtId="0" fontId="23" fillId="9" borderId="19" xfId="0" applyFont="1" applyFill="1" applyBorder="1" applyAlignment="1">
      <alignment horizontal="centerContinuous" wrapText="1"/>
    </xf>
    <xf numFmtId="0" fontId="24" fillId="9" borderId="20" xfId="0" applyFont="1" applyFill="1" applyBorder="1" applyAlignment="1">
      <alignment horizontal="centerContinuous"/>
    </xf>
    <xf numFmtId="167" fontId="24" fillId="9" borderId="21" xfId="0" applyNumberFormat="1" applyFont="1" applyFill="1" applyBorder="1"/>
    <xf numFmtId="0" fontId="1" fillId="0" borderId="17" xfId="0" applyFont="1" applyBorder="1" applyAlignment="1">
      <alignment horizontal="center" vertical="center"/>
    </xf>
    <xf numFmtId="0" fontId="1" fillId="3" borderId="17" xfId="0" applyFont="1" applyFill="1" applyBorder="1" applyAlignment="1">
      <alignment horizontal="center" vertical="center"/>
    </xf>
    <xf numFmtId="0" fontId="1" fillId="6" borderId="17" xfId="0" applyFont="1" applyFill="1" applyBorder="1" applyAlignment="1">
      <alignment horizontal="center" vertical="center"/>
    </xf>
    <xf numFmtId="0" fontId="1" fillId="4" borderId="17" xfId="0" applyFont="1" applyFill="1" applyBorder="1" applyAlignment="1">
      <alignment horizontal="center" vertical="center"/>
    </xf>
    <xf numFmtId="0" fontId="23" fillId="9" borderId="14" xfId="0" applyFont="1" applyFill="1" applyBorder="1" applyAlignment="1">
      <alignment horizontal="centerContinuous" vertical="center" wrapText="1"/>
    </xf>
    <xf numFmtId="167" fontId="24" fillId="9" borderId="18" xfId="0" applyNumberFormat="1" applyFont="1" applyFill="1" applyBorder="1" applyAlignment="1">
      <alignment horizontal="center" vertical="center"/>
    </xf>
    <xf numFmtId="0" fontId="8" fillId="5" borderId="2" xfId="0" applyFont="1" applyFill="1" applyBorder="1" applyAlignment="1">
      <alignment horizontal="center" vertical="center" wrapText="1"/>
    </xf>
    <xf numFmtId="49" fontId="1" fillId="0" borderId="0" xfId="0" applyNumberFormat="1" applyFont="1" applyAlignment="1">
      <alignment horizontal="center" vertical="center"/>
    </xf>
    <xf numFmtId="0" fontId="27" fillId="0" borderId="9" xfId="0" applyFont="1" applyBorder="1" applyAlignment="1">
      <alignment horizontal="centerContinuous" vertical="center"/>
    </xf>
    <xf numFmtId="0" fontId="18" fillId="10" borderId="10" xfId="0" applyFont="1" applyFill="1" applyBorder="1" applyAlignment="1">
      <alignment horizontal="centerContinuous" vertical="center"/>
    </xf>
    <xf numFmtId="0" fontId="18" fillId="10" borderId="11" xfId="0" applyFont="1" applyFill="1" applyBorder="1" applyAlignment="1">
      <alignment horizontal="centerContinuous" vertical="center"/>
    </xf>
    <xf numFmtId="0" fontId="25" fillId="10" borderId="23" xfId="0" applyFont="1" applyFill="1" applyBorder="1" applyAlignment="1">
      <alignment horizontal="centerContinuous" vertical="center"/>
    </xf>
    <xf numFmtId="0" fontId="25" fillId="10" borderId="24" xfId="0" applyFont="1" applyFill="1" applyBorder="1" applyAlignment="1">
      <alignment horizontal="centerContinuous" vertical="center"/>
    </xf>
    <xf numFmtId="0" fontId="24" fillId="2" borderId="12" xfId="0" applyFont="1" applyFill="1" applyBorder="1" applyAlignment="1">
      <alignment horizontal="center" vertical="center"/>
    </xf>
    <xf numFmtId="0" fontId="24" fillId="2" borderId="7" xfId="0" applyFont="1" applyFill="1" applyBorder="1" applyAlignment="1">
      <alignment horizontal="center" vertical="center"/>
    </xf>
    <xf numFmtId="0" fontId="0" fillId="0" borderId="4" xfId="0" applyBorder="1"/>
    <xf numFmtId="4" fontId="0" fillId="0" borderId="5" xfId="0" applyNumberFormat="1" applyBorder="1"/>
    <xf numFmtId="0" fontId="0" fillId="0" borderId="6" xfId="0" applyBorder="1" applyAlignment="1">
      <alignment horizontal="left"/>
    </xf>
    <xf numFmtId="0" fontId="0" fillId="0" borderId="4" xfId="0" applyBorder="1" applyAlignment="1">
      <alignment horizontal="left"/>
    </xf>
    <xf numFmtId="0" fontId="0" fillId="0" borderId="4" xfId="0" applyBorder="1" applyAlignment="1">
      <alignment horizontal="left" wrapText="1"/>
    </xf>
    <xf numFmtId="0" fontId="0" fillId="0" borderId="4" xfId="0" applyBorder="1" applyAlignment="1">
      <alignment horizontal="right" vertical="center"/>
    </xf>
    <xf numFmtId="0" fontId="0" fillId="0" borderId="4" xfId="0" applyBorder="1" applyAlignment="1">
      <alignment horizontal="center" vertical="center"/>
    </xf>
    <xf numFmtId="4" fontId="0" fillId="0" borderId="4" xfId="0" applyNumberFormat="1" applyBorder="1" applyAlignment="1">
      <alignment vertical="center"/>
    </xf>
    <xf numFmtId="3" fontId="0" fillId="0" borderId="1" xfId="0" applyNumberFormat="1" applyBorder="1" applyAlignment="1">
      <alignment vertical="center"/>
    </xf>
    <xf numFmtId="3" fontId="0" fillId="0" borderId="5" xfId="0" applyNumberFormat="1" applyBorder="1" applyAlignment="1">
      <alignment vertical="center"/>
    </xf>
    <xf numFmtId="0" fontId="3" fillId="0" borderId="0" xfId="0" applyFont="1" applyAlignment="1" applyProtection="1">
      <alignment vertical="center"/>
      <protection locked="0"/>
    </xf>
    <xf numFmtId="0" fontId="7" fillId="0" borderId="0" xfId="0" applyFont="1"/>
    <xf numFmtId="0" fontId="3" fillId="0" borderId="0" xfId="0" applyFont="1" applyProtection="1">
      <protection locked="0"/>
    </xf>
    <xf numFmtId="0" fontId="7" fillId="0" borderId="0" xfId="0" applyFont="1" applyAlignment="1">
      <alignment vertical="center"/>
    </xf>
    <xf numFmtId="0" fontId="8" fillId="0" borderId="17" xfId="0" applyFont="1" applyBorder="1" applyAlignment="1">
      <alignment horizontal="center" vertical="center"/>
    </xf>
    <xf numFmtId="0" fontId="8" fillId="3" borderId="17" xfId="0" applyFont="1" applyFill="1" applyBorder="1" applyAlignment="1">
      <alignment horizontal="center" vertical="center"/>
    </xf>
    <xf numFmtId="0" fontId="8" fillId="4" borderId="17" xfId="0" applyFont="1" applyFill="1" applyBorder="1" applyAlignment="1">
      <alignment horizontal="center" vertical="center"/>
    </xf>
    <xf numFmtId="167" fontId="8" fillId="4" borderId="17" xfId="0" applyNumberFormat="1" applyFont="1" applyFill="1" applyBorder="1" applyAlignment="1">
      <alignment horizontal="center" vertical="center"/>
    </xf>
    <xf numFmtId="0" fontId="8" fillId="6" borderId="17" xfId="0" applyFont="1" applyFill="1" applyBorder="1" applyAlignment="1">
      <alignment horizontal="center" vertical="center"/>
    </xf>
    <xf numFmtId="0" fontId="7" fillId="5" borderId="2" xfId="0" applyFont="1" applyFill="1" applyBorder="1" applyAlignment="1">
      <alignment horizontal="center" vertical="center" wrapText="1"/>
    </xf>
    <xf numFmtId="0" fontId="7" fillId="8" borderId="2" xfId="0" applyFont="1" applyFill="1" applyBorder="1" applyAlignment="1">
      <alignment horizontal="right" vertical="center"/>
    </xf>
    <xf numFmtId="49" fontId="1" fillId="0" borderId="15" xfId="0" applyNumberFormat="1" applyFont="1" applyBorder="1" applyAlignment="1">
      <alignment horizontal="center" vertical="center"/>
    </xf>
    <xf numFmtId="0" fontId="0" fillId="0" borderId="15" xfId="0" applyBorder="1" applyAlignment="1">
      <alignment vertical="center"/>
    </xf>
    <xf numFmtId="0" fontId="0" fillId="0" borderId="15" xfId="0" applyBorder="1" applyAlignment="1">
      <alignment horizontal="center" vertical="center"/>
    </xf>
    <xf numFmtId="0" fontId="1" fillId="0" borderId="15" xfId="0" applyFont="1" applyBorder="1" applyAlignment="1">
      <alignment horizontal="left" vertical="center"/>
    </xf>
    <xf numFmtId="0" fontId="0" fillId="5" borderId="15" xfId="0" applyFill="1" applyBorder="1" applyAlignment="1">
      <alignment horizontal="center" vertical="center" wrapText="1"/>
    </xf>
    <xf numFmtId="0" fontId="0" fillId="8" borderId="15" xfId="0" applyFill="1" applyBorder="1" applyAlignment="1">
      <alignment horizontal="right" vertical="center"/>
    </xf>
    <xf numFmtId="49" fontId="1" fillId="3" borderId="15" xfId="0" applyNumberFormat="1" applyFont="1" applyFill="1" applyBorder="1" applyAlignment="1">
      <alignment horizontal="center" vertical="center"/>
    </xf>
    <xf numFmtId="0" fontId="1" fillId="3" borderId="15" xfId="0" applyFont="1" applyFill="1" applyBorder="1" applyAlignment="1">
      <alignment horizontal="left" vertical="center"/>
    </xf>
    <xf numFmtId="0" fontId="1" fillId="3" borderId="15" xfId="0" applyFont="1" applyFill="1" applyBorder="1" applyAlignment="1">
      <alignment vertical="center"/>
    </xf>
    <xf numFmtId="0" fontId="1" fillId="3" borderId="15" xfId="0" applyFont="1" applyFill="1" applyBorder="1" applyAlignment="1">
      <alignment horizontal="center" vertical="center"/>
    </xf>
    <xf numFmtId="0" fontId="1" fillId="4" borderId="15" xfId="0" applyFont="1" applyFill="1" applyBorder="1" applyAlignment="1">
      <alignment horizontal="center" vertical="center"/>
    </xf>
    <xf numFmtId="49" fontId="1" fillId="4" borderId="15" xfId="0" applyNumberFormat="1" applyFont="1" applyFill="1" applyBorder="1" applyAlignment="1">
      <alignment horizontal="center" vertical="center"/>
    </xf>
    <xf numFmtId="0" fontId="1" fillId="4" borderId="15" xfId="0" applyFont="1" applyFill="1" applyBorder="1" applyAlignment="1">
      <alignment vertical="center"/>
    </xf>
    <xf numFmtId="0" fontId="1" fillId="4" borderId="15" xfId="0" applyFont="1" applyFill="1" applyBorder="1" applyAlignment="1">
      <alignment horizontal="left" vertical="center" wrapText="1"/>
    </xf>
    <xf numFmtId="0" fontId="26" fillId="0" borderId="0" xfId="0" applyFont="1" applyAlignment="1">
      <alignment horizontal="center" vertical="center"/>
    </xf>
    <xf numFmtId="0" fontId="7" fillId="0" borderId="15" xfId="0" applyFont="1" applyBorder="1" applyAlignment="1">
      <alignment horizontal="center" vertical="center"/>
    </xf>
    <xf numFmtId="2" fontId="7" fillId="0" borderId="15" xfId="0" applyNumberFormat="1" applyFont="1" applyBorder="1" applyAlignment="1">
      <alignment horizontal="center" vertical="center"/>
    </xf>
    <xf numFmtId="0" fontId="3" fillId="0" borderId="15" xfId="0" applyFont="1" applyBorder="1" applyAlignment="1" applyProtection="1">
      <alignment horizontal="center" vertical="center"/>
      <protection locked="0"/>
    </xf>
    <xf numFmtId="2" fontId="3" fillId="0" borderId="15" xfId="0" applyNumberFormat="1" applyFont="1" applyBorder="1" applyAlignment="1" applyProtection="1">
      <alignment horizontal="center" vertical="center"/>
      <protection locked="0"/>
    </xf>
    <xf numFmtId="0" fontId="0" fillId="6" borderId="15" xfId="0" applyFill="1" applyBorder="1" applyAlignment="1">
      <alignment horizontal="center" vertical="center"/>
    </xf>
    <xf numFmtId="0" fontId="0" fillId="6" borderId="15" xfId="0" applyFill="1" applyBorder="1" applyAlignment="1">
      <alignment vertical="center"/>
    </xf>
    <xf numFmtId="0" fontId="7" fillId="0" borderId="15" xfId="0" applyFont="1" applyBorder="1" applyAlignment="1">
      <alignment vertical="center"/>
    </xf>
    <xf numFmtId="0" fontId="0" fillId="2" borderId="2" xfId="0" applyFill="1" applyBorder="1" applyAlignment="1">
      <alignment horizontal="right" vertical="center"/>
    </xf>
    <xf numFmtId="0" fontId="7" fillId="2" borderId="2" xfId="0" applyFont="1" applyFill="1" applyBorder="1" applyAlignment="1">
      <alignment horizontal="right" vertical="center"/>
    </xf>
    <xf numFmtId="2" fontId="3" fillId="2" borderId="2" xfId="0" applyNumberFormat="1" applyFont="1" applyFill="1" applyBorder="1" applyAlignment="1" applyProtection="1">
      <alignment horizontal="right" vertical="center"/>
      <protection locked="0"/>
    </xf>
    <xf numFmtId="2" fontId="8" fillId="2" borderId="2" xfId="0" applyNumberFormat="1" applyFont="1" applyFill="1" applyBorder="1" applyAlignment="1">
      <alignment horizontal="right" vertical="center"/>
    </xf>
    <xf numFmtId="164" fontId="0" fillId="2" borderId="15" xfId="0" applyNumberFormat="1" applyFill="1" applyBorder="1" applyAlignment="1" applyProtection="1">
      <alignment horizontal="right" vertical="center"/>
    </xf>
    <xf numFmtId="0" fontId="1" fillId="3" borderId="15" xfId="0" applyFont="1" applyFill="1" applyBorder="1" applyAlignment="1" applyProtection="1">
      <alignment horizontal="center" vertical="center"/>
    </xf>
    <xf numFmtId="0" fontId="1" fillId="4" borderId="15" xfId="0" applyFont="1" applyFill="1" applyBorder="1" applyAlignment="1" applyProtection="1">
      <alignment horizontal="center" vertical="center"/>
    </xf>
    <xf numFmtId="0" fontId="1" fillId="4" borderId="15" xfId="0" applyFont="1" applyFill="1" applyBorder="1" applyAlignment="1">
      <alignment horizontal="left" vertical="center"/>
    </xf>
    <xf numFmtId="0" fontId="8" fillId="0" borderId="15" xfId="0" applyFont="1" applyBorder="1" applyAlignment="1">
      <alignment horizontal="left" vertical="center"/>
    </xf>
    <xf numFmtId="0" fontId="8" fillId="3" borderId="15" xfId="0" applyFont="1" applyFill="1" applyBorder="1" applyAlignment="1">
      <alignment horizontal="center" vertical="center"/>
    </xf>
    <xf numFmtId="2" fontId="8" fillId="3" borderId="15" xfId="0" applyNumberFormat="1" applyFont="1" applyFill="1" applyBorder="1" applyAlignment="1" applyProtection="1">
      <alignment horizontal="center" vertical="center"/>
    </xf>
    <xf numFmtId="0" fontId="8" fillId="3" borderId="15" xfId="0" applyFont="1" applyFill="1" applyBorder="1" applyAlignment="1">
      <alignment horizontal="left" vertical="center"/>
    </xf>
    <xf numFmtId="0" fontId="2" fillId="4" borderId="15" xfId="0" applyFont="1" applyFill="1" applyBorder="1" applyAlignment="1" applyProtection="1">
      <alignment horizontal="center" vertical="center"/>
      <protection locked="0"/>
    </xf>
    <xf numFmtId="0" fontId="2" fillId="4" borderId="15" xfId="0" applyFont="1" applyFill="1" applyBorder="1" applyAlignment="1" applyProtection="1">
      <alignment horizontal="center" vertical="center"/>
    </xf>
    <xf numFmtId="0" fontId="2" fillId="4" borderId="15" xfId="0" applyFont="1" applyFill="1" applyBorder="1" applyAlignment="1" applyProtection="1">
      <alignment horizontal="left" vertical="center" wrapText="1"/>
      <protection locked="0"/>
    </xf>
    <xf numFmtId="0" fontId="2" fillId="3" borderId="15" xfId="0" applyFont="1" applyFill="1" applyBorder="1" applyAlignment="1" applyProtection="1">
      <alignment horizontal="center" vertical="center"/>
      <protection locked="0"/>
    </xf>
    <xf numFmtId="2" fontId="2" fillId="3" borderId="15" xfId="0" applyNumberFormat="1" applyFont="1" applyFill="1" applyBorder="1" applyAlignment="1" applyProtection="1">
      <alignment horizontal="center" vertical="center"/>
    </xf>
    <xf numFmtId="0" fontId="2" fillId="3" borderId="15" xfId="0" applyFont="1" applyFill="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3" borderId="15" xfId="0" applyFont="1" applyFill="1" applyBorder="1" applyAlignment="1" applyProtection="1">
      <alignment horizontal="center" vertical="center"/>
    </xf>
    <xf numFmtId="2" fontId="2" fillId="4" borderId="15" xfId="0" applyNumberFormat="1" applyFont="1" applyFill="1" applyBorder="1" applyAlignment="1" applyProtection="1">
      <alignment horizontal="center" vertical="center"/>
    </xf>
    <xf numFmtId="49" fontId="1" fillId="7" borderId="15" xfId="0" applyNumberFormat="1" applyFont="1" applyFill="1" applyBorder="1" applyAlignment="1">
      <alignment horizontal="center" vertical="center"/>
    </xf>
    <xf numFmtId="0" fontId="1" fillId="7" borderId="15" xfId="0" applyFont="1" applyFill="1" applyBorder="1" applyAlignment="1">
      <alignment vertical="center"/>
    </xf>
    <xf numFmtId="0" fontId="1" fillId="7" borderId="15" xfId="0" applyFont="1" applyFill="1" applyBorder="1" applyAlignment="1">
      <alignment horizontal="center" vertical="center"/>
    </xf>
    <xf numFmtId="0" fontId="11" fillId="7" borderId="15" xfId="0" applyFont="1" applyFill="1" applyBorder="1" applyAlignment="1">
      <alignment horizontal="left" vertical="center"/>
    </xf>
    <xf numFmtId="0" fontId="13" fillId="7" borderId="15" xfId="0" applyFont="1" applyFill="1" applyBorder="1" applyAlignment="1" applyProtection="1">
      <alignment horizontal="center" vertical="center" wrapText="1"/>
    </xf>
    <xf numFmtId="0" fontId="2" fillId="4" borderId="15" xfId="0" applyFont="1" applyFill="1" applyBorder="1" applyAlignment="1" applyProtection="1">
      <alignment horizontal="left" vertical="center"/>
      <protection locked="0"/>
    </xf>
    <xf numFmtId="0" fontId="14" fillId="7" borderId="15" xfId="0" applyFont="1" applyFill="1" applyBorder="1" applyAlignment="1" applyProtection="1">
      <alignment horizontal="center" vertical="center" wrapText="1"/>
    </xf>
    <xf numFmtId="0" fontId="1" fillId="6" borderId="15" xfId="0" applyFont="1" applyFill="1" applyBorder="1" applyAlignment="1">
      <alignment horizontal="left" vertical="center"/>
    </xf>
    <xf numFmtId="0" fontId="8" fillId="3" borderId="15" xfId="0" applyFont="1" applyFill="1" applyBorder="1" applyAlignment="1">
      <alignment vertical="center"/>
    </xf>
    <xf numFmtId="0" fontId="8" fillId="3" borderId="15" xfId="0" applyFont="1" applyFill="1" applyBorder="1" applyAlignment="1" applyProtection="1">
      <alignment horizontal="center" vertical="center"/>
    </xf>
    <xf numFmtId="0" fontId="8" fillId="4" borderId="15" xfId="0" applyFont="1" applyFill="1" applyBorder="1" applyAlignment="1" applyProtection="1">
      <alignment horizontal="center" vertical="center"/>
    </xf>
    <xf numFmtId="0" fontId="8" fillId="4" borderId="15" xfId="0" applyFont="1" applyFill="1" applyBorder="1" applyAlignment="1">
      <alignment horizontal="left" vertical="center"/>
    </xf>
    <xf numFmtId="0" fontId="1" fillId="0" borderId="15" xfId="0" applyFont="1" applyFill="1" applyBorder="1" applyAlignment="1">
      <alignment horizontal="left" vertical="center"/>
    </xf>
    <xf numFmtId="49" fontId="19" fillId="0" borderId="15" xfId="0" applyNumberFormat="1" applyFont="1" applyFill="1" applyBorder="1" applyAlignment="1">
      <alignment horizontal="center" vertical="center"/>
    </xf>
    <xf numFmtId="0" fontId="0" fillId="0" borderId="1" xfId="0" applyFill="1" applyBorder="1" applyAlignment="1">
      <alignment horizontal="center" vertical="center"/>
    </xf>
    <xf numFmtId="0" fontId="0" fillId="0" borderId="2" xfId="0" applyFill="1" applyBorder="1" applyAlignment="1">
      <alignment vertical="center"/>
    </xf>
    <xf numFmtId="0" fontId="1" fillId="0" borderId="2" xfId="0" applyFont="1" applyFill="1" applyBorder="1" applyAlignment="1">
      <alignment horizontal="left" vertical="center"/>
    </xf>
    <xf numFmtId="0" fontId="1" fillId="0" borderId="16" xfId="0" applyFont="1" applyFill="1" applyBorder="1" applyAlignment="1">
      <alignment horizontal="center" vertical="center"/>
    </xf>
    <xf numFmtId="0" fontId="0" fillId="0" borderId="0" xfId="0" applyFill="1"/>
    <xf numFmtId="0" fontId="1" fillId="0" borderId="17" xfId="0" applyFont="1" applyFill="1" applyBorder="1" applyAlignment="1">
      <alignment horizontal="center" vertical="center"/>
    </xf>
    <xf numFmtId="49" fontId="2" fillId="4" borderId="15" xfId="0" applyNumberFormat="1" applyFont="1" applyFill="1" applyBorder="1" applyAlignment="1">
      <alignment horizontal="center" vertical="center"/>
    </xf>
    <xf numFmtId="0" fontId="2" fillId="4" borderId="15" xfId="0" applyFont="1" applyFill="1" applyBorder="1" applyAlignment="1" applyProtection="1">
      <alignment vertical="center" wrapText="1"/>
      <protection locked="0"/>
    </xf>
    <xf numFmtId="49" fontId="2" fillId="0" borderId="15" xfId="0" applyNumberFormat="1" applyFont="1" applyFill="1" applyBorder="1" applyAlignment="1">
      <alignment horizontal="center" vertical="center" wrapText="1"/>
    </xf>
    <xf numFmtId="0" fontId="7" fillId="0" borderId="1" xfId="0" applyFont="1" applyFill="1" applyBorder="1" applyAlignment="1">
      <alignment horizontal="center" vertical="center"/>
    </xf>
    <xf numFmtId="0" fontId="7" fillId="0" borderId="2" xfId="0" applyFont="1" applyFill="1" applyBorder="1" applyAlignment="1">
      <alignment horizontal="center" vertical="center"/>
    </xf>
    <xf numFmtId="2" fontId="7" fillId="0" borderId="2" xfId="0" applyNumberFormat="1" applyFont="1" applyFill="1" applyBorder="1" applyAlignment="1">
      <alignment horizontal="center" vertical="center"/>
    </xf>
    <xf numFmtId="0" fontId="8" fillId="0" borderId="2"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5" xfId="0" applyNumberFormat="1" applyFont="1" applyFill="1" applyBorder="1" applyAlignment="1">
      <alignment horizontal="center" vertical="center"/>
    </xf>
    <xf numFmtId="0" fontId="2" fillId="4" borderId="15" xfId="0" applyFont="1" applyFill="1" applyBorder="1" applyAlignment="1">
      <alignment vertical="center"/>
    </xf>
    <xf numFmtId="0" fontId="3" fillId="0" borderId="1" xfId="0" applyFont="1" applyFill="1" applyBorder="1" applyAlignment="1" applyProtection="1">
      <alignment horizontal="center" vertical="center"/>
      <protection locked="0"/>
    </xf>
    <xf numFmtId="0" fontId="3" fillId="0" borderId="2" xfId="0" applyFont="1" applyFill="1" applyBorder="1" applyAlignment="1" applyProtection="1">
      <alignment horizontal="center" vertical="center"/>
      <protection locked="0"/>
    </xf>
    <xf numFmtId="2" fontId="3" fillId="0" borderId="2" xfId="0" applyNumberFormat="1" applyFont="1" applyFill="1" applyBorder="1" applyAlignment="1" applyProtection="1">
      <alignment horizontal="center" vertical="center"/>
      <protection locked="0"/>
    </xf>
    <xf numFmtId="0" fontId="2" fillId="0" borderId="2" xfId="0" applyFont="1" applyFill="1" applyBorder="1" applyAlignment="1" applyProtection="1">
      <alignment horizontal="left" vertical="center"/>
      <protection locked="0"/>
    </xf>
    <xf numFmtId="49" fontId="2" fillId="4" borderId="15" xfId="0" applyNumberFormat="1" applyFont="1" applyFill="1" applyBorder="1" applyAlignment="1" applyProtection="1">
      <alignment horizontal="center" vertical="center"/>
      <protection locked="0"/>
    </xf>
    <xf numFmtId="0" fontId="2" fillId="4" borderId="15" xfId="0" applyFont="1" applyFill="1" applyBorder="1" applyAlignment="1" applyProtection="1">
      <alignment vertical="center"/>
      <protection locked="0"/>
    </xf>
    <xf numFmtId="0" fontId="21" fillId="4" borderId="15" xfId="0" applyFont="1" applyFill="1" applyBorder="1" applyAlignment="1">
      <alignment horizontal="center" vertical="center"/>
    </xf>
    <xf numFmtId="0" fontId="8" fillId="4" borderId="15" xfId="0" applyFont="1" applyFill="1" applyBorder="1" applyAlignment="1">
      <alignment horizontal="left" vertical="center" wrapText="1"/>
    </xf>
    <xf numFmtId="0" fontId="7" fillId="0" borderId="2" xfId="0" applyFont="1" applyFill="1" applyBorder="1" applyAlignment="1">
      <alignment vertical="center"/>
    </xf>
    <xf numFmtId="0" fontId="8" fillId="0" borderId="16" xfId="0" applyFont="1" applyFill="1" applyBorder="1" applyAlignment="1">
      <alignment horizontal="center" vertical="center"/>
    </xf>
    <xf numFmtId="0" fontId="7" fillId="0" borderId="0" xfId="0" applyFont="1" applyFill="1"/>
    <xf numFmtId="0" fontId="3" fillId="0" borderId="0" xfId="0" applyFont="1" applyFill="1" applyProtection="1">
      <protection locked="0"/>
    </xf>
    <xf numFmtId="0" fontId="1" fillId="0" borderId="10" xfId="0" applyFont="1" applyFill="1" applyBorder="1" applyAlignment="1">
      <alignment horizontal="center" vertical="center" wrapText="1"/>
    </xf>
    <xf numFmtId="49" fontId="19" fillId="0" borderId="11" xfId="0" applyNumberFormat="1" applyFont="1" applyFill="1" applyBorder="1" applyAlignment="1">
      <alignment horizontal="center" vertical="center" wrapText="1"/>
    </xf>
    <xf numFmtId="0" fontId="1" fillId="0" borderId="11" xfId="0" applyFont="1" applyFill="1" applyBorder="1" applyAlignment="1">
      <alignment horizontal="center" vertical="center" wrapText="1"/>
    </xf>
    <xf numFmtId="0" fontId="1" fillId="0" borderId="22" xfId="0" applyFont="1" applyFill="1" applyBorder="1" applyAlignment="1">
      <alignment horizontal="center" vertical="center" wrapText="1"/>
    </xf>
    <xf numFmtId="0" fontId="15" fillId="0" borderId="15" xfId="0" applyFont="1" applyFill="1" applyBorder="1" applyAlignment="1">
      <alignment vertical="center" wrapText="1"/>
    </xf>
    <xf numFmtId="0" fontId="31" fillId="0" borderId="15" xfId="0" applyFont="1" applyFill="1" applyBorder="1" applyAlignment="1" applyProtection="1">
      <alignment vertical="center" wrapText="1"/>
      <protection locked="0"/>
    </xf>
    <xf numFmtId="0" fontId="5" fillId="0" borderId="15" xfId="0" applyFont="1" applyFill="1" applyBorder="1" applyAlignment="1">
      <alignment vertical="center" wrapText="1"/>
    </xf>
    <xf numFmtId="0" fontId="0" fillId="0" borderId="15" xfId="0" applyFill="1" applyBorder="1" applyAlignment="1">
      <alignment vertical="center" wrapText="1"/>
    </xf>
    <xf numFmtId="167" fontId="1" fillId="4" borderId="17" xfId="0" applyNumberFormat="1" applyFont="1" applyFill="1" applyBorder="1" applyAlignment="1" applyProtection="1">
      <alignment horizontal="center" vertical="center"/>
    </xf>
    <xf numFmtId="0" fontId="0" fillId="0" borderId="0" xfId="0" applyFont="1"/>
    <xf numFmtId="0" fontId="10" fillId="0" borderId="0" xfId="0" applyNumberFormat="1" applyFont="1" applyAlignment="1">
      <alignment horizontal="right"/>
    </xf>
    <xf numFmtId="0" fontId="12" fillId="0" borderId="15" xfId="0" applyFont="1" applyBorder="1" applyAlignment="1">
      <alignment vertical="center"/>
    </xf>
    <xf numFmtId="49" fontId="2" fillId="0" borderId="15" xfId="0" applyNumberFormat="1" applyFont="1" applyBorder="1" applyAlignment="1" applyProtection="1">
      <alignment horizontal="center" vertical="center"/>
      <protection locked="0"/>
    </xf>
    <xf numFmtId="0" fontId="3" fillId="0" borderId="15" xfId="0" applyFont="1" applyBorder="1" applyAlignment="1" applyProtection="1">
      <alignment vertical="center"/>
      <protection locked="0"/>
    </xf>
    <xf numFmtId="0" fontId="7" fillId="5" borderId="15" xfId="0" applyFont="1" applyFill="1" applyBorder="1" applyAlignment="1">
      <alignment horizontal="center" vertical="center" wrapText="1"/>
    </xf>
    <xf numFmtId="0" fontId="7" fillId="8" borderId="15" xfId="0" applyFont="1" applyFill="1" applyBorder="1" applyAlignment="1">
      <alignment horizontal="right" vertical="center"/>
    </xf>
    <xf numFmtId="49" fontId="2" fillId="3" borderId="15" xfId="0" applyNumberFormat="1" applyFont="1" applyFill="1" applyBorder="1" applyAlignment="1" applyProtection="1">
      <alignment horizontal="center" vertical="center"/>
      <protection locked="0"/>
    </xf>
    <xf numFmtId="0" fontId="2" fillId="3" borderId="15" xfId="0" applyFont="1" applyFill="1" applyBorder="1" applyAlignment="1" applyProtection="1">
      <alignment vertical="center"/>
      <protection locked="0"/>
    </xf>
    <xf numFmtId="49" fontId="1" fillId="6" borderId="15" xfId="0" applyNumberFormat="1" applyFont="1" applyFill="1" applyBorder="1" applyAlignment="1">
      <alignment horizontal="center" vertical="center"/>
    </xf>
    <xf numFmtId="0" fontId="2" fillId="0" borderId="15" xfId="0" applyFont="1" applyBorder="1" applyAlignment="1">
      <alignment vertical="center" wrapText="1"/>
    </xf>
    <xf numFmtId="0" fontId="4" fillId="0" borderId="15" xfId="0" applyFont="1" applyBorder="1" applyAlignment="1">
      <alignment vertical="center" wrapText="1"/>
    </xf>
    <xf numFmtId="0" fontId="3" fillId="0" borderId="15" xfId="0" applyFont="1" applyBorder="1" applyAlignment="1">
      <alignment vertical="center" wrapText="1"/>
    </xf>
    <xf numFmtId="0" fontId="2" fillId="3" borderId="15" xfId="0" applyFont="1" applyFill="1" applyBorder="1" applyAlignment="1">
      <alignment vertical="center" wrapText="1"/>
    </xf>
    <xf numFmtId="0" fontId="2" fillId="4" borderId="15" xfId="0" applyFont="1" applyFill="1" applyBorder="1" applyAlignment="1">
      <alignment vertical="center" wrapText="1"/>
    </xf>
    <xf numFmtId="0" fontId="3" fillId="0" borderId="15" xfId="0" applyFont="1" applyBorder="1" applyAlignment="1">
      <alignment vertical="center"/>
    </xf>
    <xf numFmtId="49" fontId="2" fillId="3" borderId="15" xfId="0" applyNumberFormat="1" applyFont="1" applyFill="1" applyBorder="1" applyAlignment="1">
      <alignment horizontal="center" vertical="center"/>
    </xf>
    <xf numFmtId="0" fontId="2" fillId="3" borderId="15" xfId="0" applyFont="1" applyFill="1" applyBorder="1" applyAlignment="1">
      <alignment vertical="center"/>
    </xf>
    <xf numFmtId="49" fontId="8" fillId="0" borderId="15" xfId="0" applyNumberFormat="1" applyFont="1" applyBorder="1" applyAlignment="1">
      <alignment horizontal="center" vertical="center"/>
    </xf>
    <xf numFmtId="0" fontId="8" fillId="5" borderId="15" xfId="0" applyFont="1" applyFill="1" applyBorder="1" applyAlignment="1">
      <alignment horizontal="center" vertical="center" wrapText="1"/>
    </xf>
    <xf numFmtId="0" fontId="2" fillId="3" borderId="15" xfId="0" applyFont="1" applyFill="1" applyBorder="1" applyAlignment="1" applyProtection="1">
      <alignment vertical="center" wrapText="1"/>
      <protection locked="0"/>
    </xf>
    <xf numFmtId="49" fontId="8" fillId="3" borderId="15" xfId="0" applyNumberFormat="1" applyFont="1" applyFill="1" applyBorder="1" applyAlignment="1">
      <alignment horizontal="center" vertical="center"/>
    </xf>
    <xf numFmtId="165" fontId="1" fillId="8" borderId="15" xfId="0" applyNumberFormat="1" applyFont="1" applyFill="1" applyBorder="1" applyAlignment="1" applyProtection="1">
      <alignment horizontal="right" vertical="center"/>
    </xf>
    <xf numFmtId="0" fontId="1" fillId="8" borderId="15" xfId="0" applyFont="1" applyFill="1" applyBorder="1" applyAlignment="1" applyProtection="1">
      <alignment horizontal="right" vertical="center"/>
    </xf>
    <xf numFmtId="0" fontId="8" fillId="8" borderId="15" xfId="0" applyFont="1" applyFill="1" applyBorder="1" applyAlignment="1">
      <alignment horizontal="right" vertical="center"/>
    </xf>
    <xf numFmtId="165" fontId="8" fillId="8" borderId="15" xfId="0" applyNumberFormat="1" applyFont="1" applyFill="1" applyBorder="1" applyAlignment="1">
      <alignment horizontal="right" vertical="center"/>
    </xf>
    <xf numFmtId="0" fontId="1" fillId="8" borderId="15" xfId="0" applyFont="1" applyFill="1" applyBorder="1" applyAlignment="1">
      <alignment horizontal="right" vertical="center"/>
    </xf>
    <xf numFmtId="164" fontId="1" fillId="2" borderId="15" xfId="0" applyNumberFormat="1" applyFont="1" applyFill="1" applyBorder="1" applyAlignment="1" applyProtection="1">
      <alignment horizontal="right" vertical="center"/>
    </xf>
    <xf numFmtId="164" fontId="7" fillId="2" borderId="15" xfId="0" applyNumberFormat="1" applyFont="1" applyFill="1" applyBorder="1" applyAlignment="1" applyProtection="1">
      <alignment horizontal="right" vertical="center"/>
    </xf>
    <xf numFmtId="164" fontId="8" fillId="2" borderId="15" xfId="0" applyNumberFormat="1" applyFont="1" applyFill="1" applyBorder="1" applyAlignment="1" applyProtection="1">
      <alignment horizontal="right" vertical="center"/>
    </xf>
    <xf numFmtId="166" fontId="8" fillId="2" borderId="15" xfId="0" applyNumberFormat="1" applyFont="1" applyFill="1" applyBorder="1" applyAlignment="1">
      <alignment horizontal="right" vertical="center"/>
    </xf>
    <xf numFmtId="0" fontId="0" fillId="2" borderId="15" xfId="0" applyFill="1" applyBorder="1" applyAlignment="1">
      <alignment horizontal="right" vertical="center"/>
    </xf>
    <xf numFmtId="2" fontId="3" fillId="2" borderId="15" xfId="0" applyNumberFormat="1" applyFont="1" applyFill="1" applyBorder="1" applyAlignment="1" applyProtection="1">
      <alignment horizontal="right" vertical="center"/>
      <protection locked="0"/>
    </xf>
    <xf numFmtId="164" fontId="3" fillId="2" borderId="15" xfId="0" applyNumberFormat="1" applyFont="1" applyFill="1" applyBorder="1" applyAlignment="1" applyProtection="1">
      <alignment horizontal="right" vertical="center"/>
    </xf>
    <xf numFmtId="2" fontId="2" fillId="2" borderId="15" xfId="0" applyNumberFormat="1" applyFont="1" applyFill="1" applyBorder="1" applyAlignment="1" applyProtection="1">
      <alignment horizontal="right" vertical="center"/>
    </xf>
    <xf numFmtId="164" fontId="2" fillId="2" borderId="15" xfId="0" applyNumberFormat="1" applyFont="1" applyFill="1" applyBorder="1" applyAlignment="1" applyProtection="1">
      <alignment horizontal="right" vertical="center"/>
    </xf>
    <xf numFmtId="2" fontId="8" fillId="2" borderId="15" xfId="0" applyNumberFormat="1" applyFont="1" applyFill="1" applyBorder="1" applyAlignment="1" applyProtection="1">
      <alignment horizontal="right" vertical="center"/>
    </xf>
    <xf numFmtId="0" fontId="1" fillId="5" borderId="15" xfId="0" applyFont="1" applyFill="1" applyBorder="1" applyAlignment="1">
      <alignment horizontal="center" vertical="center" wrapText="1"/>
    </xf>
    <xf numFmtId="0" fontId="17" fillId="5" borderId="15" xfId="0" applyFont="1" applyFill="1" applyBorder="1" applyAlignment="1">
      <alignment horizontal="center" vertical="center" wrapText="1"/>
    </xf>
    <xf numFmtId="0" fontId="2" fillId="5" borderId="15" xfId="0" applyFont="1" applyFill="1" applyBorder="1" applyAlignment="1" applyProtection="1">
      <alignment horizontal="center" vertical="center" wrapText="1"/>
      <protection locked="0"/>
    </xf>
    <xf numFmtId="1" fontId="19" fillId="0" borderId="9" xfId="0" applyNumberFormat="1" applyFont="1" applyBorder="1" applyAlignment="1" applyProtection="1">
      <alignment horizontal="center" vertical="center"/>
    </xf>
    <xf numFmtId="1" fontId="19" fillId="3" borderId="9" xfId="0" applyNumberFormat="1" applyFont="1" applyFill="1" applyBorder="1" applyAlignment="1" applyProtection="1">
      <alignment horizontal="center" vertical="center"/>
    </xf>
    <xf numFmtId="1" fontId="19" fillId="4" borderId="9" xfId="0" applyNumberFormat="1" applyFont="1" applyFill="1" applyBorder="1" applyAlignment="1" applyProtection="1">
      <alignment horizontal="center" vertical="center"/>
    </xf>
    <xf numFmtId="1" fontId="19" fillId="0" borderId="9" xfId="0" applyNumberFormat="1" applyFont="1" applyFill="1" applyBorder="1" applyAlignment="1" applyProtection="1">
      <alignment horizontal="center" vertical="center"/>
    </xf>
    <xf numFmtId="1" fontId="2" fillId="0" borderId="9" xfId="0" applyNumberFormat="1" applyFont="1" applyFill="1" applyBorder="1" applyAlignment="1" applyProtection="1">
      <alignment horizontal="center" vertical="center"/>
    </xf>
    <xf numFmtId="1" fontId="2" fillId="0" borderId="9" xfId="0" applyNumberFormat="1" applyFont="1" applyBorder="1" applyAlignment="1" applyProtection="1">
      <alignment horizontal="center" vertical="center"/>
    </xf>
    <xf numFmtId="1" fontId="2" fillId="3" borderId="9" xfId="0" applyNumberFormat="1" applyFont="1" applyFill="1" applyBorder="1" applyAlignment="1" applyProtection="1">
      <alignment horizontal="center" vertical="center"/>
    </xf>
    <xf numFmtId="1" fontId="2" fillId="4" borderId="9" xfId="0" applyNumberFormat="1" applyFont="1" applyFill="1" applyBorder="1" applyAlignment="1" applyProtection="1">
      <alignment horizontal="center" vertical="center"/>
    </xf>
    <xf numFmtId="1" fontId="19" fillId="6" borderId="9" xfId="0" applyNumberFormat="1" applyFont="1" applyFill="1" applyBorder="1" applyAlignment="1" applyProtection="1">
      <alignment horizontal="center" vertical="center"/>
    </xf>
    <xf numFmtId="1" fontId="19" fillId="7" borderId="9" xfId="0" applyNumberFormat="1" applyFont="1" applyFill="1" applyBorder="1" applyAlignment="1" applyProtection="1">
      <alignment horizontal="center" vertical="center"/>
    </xf>
    <xf numFmtId="0" fontId="0" fillId="0" borderId="15" xfId="0" applyFill="1" applyBorder="1" applyAlignment="1">
      <alignment horizontal="center" vertical="center"/>
    </xf>
    <xf numFmtId="0" fontId="0" fillId="0" borderId="15" xfId="0" applyFill="1" applyBorder="1" applyAlignment="1">
      <alignment vertical="center"/>
    </xf>
    <xf numFmtId="0" fontId="7" fillId="2" borderId="15" xfId="0" applyFont="1" applyFill="1" applyBorder="1" applyAlignment="1">
      <alignment horizontal="right" vertical="center"/>
    </xf>
    <xf numFmtId="49" fontId="2" fillId="6" borderId="15" xfId="0" applyNumberFormat="1" applyFont="1" applyFill="1" applyBorder="1" applyAlignment="1" applyProtection="1">
      <alignment horizontal="center" vertical="center"/>
      <protection locked="0"/>
    </xf>
    <xf numFmtId="0" fontId="3" fillId="6" borderId="15" xfId="0" applyFont="1" applyFill="1" applyBorder="1" applyAlignment="1" applyProtection="1">
      <alignment vertical="center"/>
      <protection locked="0"/>
    </xf>
    <xf numFmtId="0" fontId="3" fillId="6" borderId="15" xfId="0" applyFont="1" applyFill="1" applyBorder="1" applyAlignment="1" applyProtection="1">
      <alignment horizontal="center" vertical="center"/>
      <protection locked="0"/>
    </xf>
    <xf numFmtId="0" fontId="7" fillId="6" borderId="15" xfId="0" applyFont="1" applyFill="1" applyBorder="1" applyAlignment="1">
      <alignment vertical="center"/>
    </xf>
    <xf numFmtId="0" fontId="8" fillId="6" borderId="15" xfId="0" applyFont="1" applyFill="1" applyBorder="1" applyAlignment="1">
      <alignment horizontal="left" vertical="center"/>
    </xf>
    <xf numFmtId="0" fontId="20" fillId="4" borderId="15" xfId="0" applyFont="1" applyFill="1" applyBorder="1" applyAlignment="1">
      <alignment horizontal="center" vertical="center" wrapText="1"/>
    </xf>
    <xf numFmtId="166" fontId="1" fillId="2" borderId="15" xfId="0" applyNumberFormat="1" applyFont="1" applyFill="1" applyBorder="1" applyAlignment="1">
      <alignment horizontal="right" vertical="center"/>
    </xf>
    <xf numFmtId="49" fontId="2" fillId="6" borderId="15" xfId="0" applyNumberFormat="1" applyFont="1" applyFill="1" applyBorder="1" applyAlignment="1">
      <alignment horizontal="center" vertical="center"/>
    </xf>
    <xf numFmtId="0" fontId="3" fillId="6" borderId="15" xfId="0" applyFont="1" applyFill="1" applyBorder="1" applyAlignment="1" applyProtection="1">
      <alignment vertical="center" wrapText="1"/>
      <protection locked="0"/>
    </xf>
    <xf numFmtId="2" fontId="3" fillId="6" borderId="15" xfId="0" applyNumberFormat="1" applyFont="1" applyFill="1" applyBorder="1" applyAlignment="1" applyProtection="1">
      <alignment horizontal="center" vertical="center"/>
      <protection locked="0"/>
    </xf>
    <xf numFmtId="0" fontId="2" fillId="6" borderId="15" xfId="0" applyFont="1" applyFill="1" applyBorder="1" applyAlignment="1" applyProtection="1">
      <alignment horizontal="left" vertical="center"/>
      <protection locked="0"/>
    </xf>
    <xf numFmtId="0" fontId="3" fillId="5" borderId="15" xfId="0" applyFont="1" applyFill="1" applyBorder="1" applyAlignment="1" applyProtection="1">
      <alignment horizontal="center" vertical="center" wrapText="1"/>
      <protection locked="0"/>
    </xf>
    <xf numFmtId="1" fontId="2" fillId="6" borderId="9" xfId="0" applyNumberFormat="1" applyFont="1" applyFill="1" applyBorder="1" applyAlignment="1" applyProtection="1">
      <alignment horizontal="center" vertical="center"/>
    </xf>
    <xf numFmtId="0" fontId="0" fillId="6" borderId="29" xfId="0" applyFill="1" applyBorder="1" applyAlignment="1">
      <alignment horizontal="center" vertical="center"/>
    </xf>
    <xf numFmtId="49" fontId="1" fillId="6" borderId="30" xfId="0" applyNumberFormat="1" applyFont="1" applyFill="1" applyBorder="1" applyAlignment="1">
      <alignment horizontal="center" vertical="center"/>
    </xf>
    <xf numFmtId="0" fontId="0" fillId="6" borderId="30" xfId="0" applyFill="1" applyBorder="1" applyAlignment="1">
      <alignment vertical="center"/>
    </xf>
    <xf numFmtId="0" fontId="0" fillId="6" borderId="30" xfId="0" applyFill="1" applyBorder="1" applyAlignment="1">
      <alignment horizontal="center" vertical="center"/>
    </xf>
    <xf numFmtId="0" fontId="0" fillId="6" borderId="30" xfId="0" applyFont="1" applyFill="1" applyBorder="1" applyAlignment="1">
      <alignment horizontal="center" vertical="center"/>
    </xf>
    <xf numFmtId="0" fontId="0" fillId="6" borderId="30" xfId="0" applyFont="1" applyFill="1" applyBorder="1" applyAlignment="1">
      <alignment vertical="center"/>
    </xf>
    <xf numFmtId="0" fontId="1" fillId="6" borderId="31" xfId="0" applyFont="1" applyFill="1" applyBorder="1" applyAlignment="1">
      <alignment horizontal="center" vertical="center"/>
    </xf>
    <xf numFmtId="0" fontId="27" fillId="0" borderId="15" xfId="0" applyFont="1" applyBorder="1" applyAlignment="1">
      <alignment horizontal="centerContinuous" vertical="center"/>
    </xf>
    <xf numFmtId="0" fontId="1" fillId="10" borderId="22" xfId="0" applyFont="1" applyFill="1" applyBorder="1" applyAlignment="1" applyProtection="1">
      <alignment horizontal="center" vertical="center" wrapText="1"/>
    </xf>
    <xf numFmtId="164" fontId="25" fillId="0" borderId="17" xfId="0" applyNumberFormat="1" applyFont="1" applyBorder="1" applyAlignment="1" applyProtection="1">
      <alignment horizontal="right" vertical="center"/>
    </xf>
    <xf numFmtId="164" fontId="25" fillId="10" borderId="25" xfId="0" applyNumberFormat="1" applyFont="1" applyFill="1" applyBorder="1" applyAlignment="1" applyProtection="1">
      <alignment horizontal="right" vertical="center"/>
    </xf>
    <xf numFmtId="0" fontId="28" fillId="0" borderId="15" xfId="0" applyFont="1" applyBorder="1" applyAlignment="1">
      <alignment horizontal="centerContinuous"/>
    </xf>
    <xf numFmtId="0" fontId="0" fillId="0" borderId="0" xfId="0" applyAlignment="1">
      <alignment wrapText="1"/>
    </xf>
    <xf numFmtId="49" fontId="0" fillId="0" borderId="15" xfId="0" applyNumberFormat="1" applyBorder="1" applyAlignment="1">
      <alignment horizontal="left" wrapText="1"/>
    </xf>
    <xf numFmtId="0" fontId="0" fillId="0" borderId="15" xfId="0" applyBorder="1"/>
    <xf numFmtId="4" fontId="0" fillId="0" borderId="15" xfId="0" applyNumberFormat="1" applyBorder="1"/>
    <xf numFmtId="49" fontId="0" fillId="0" borderId="3" xfId="0" applyNumberFormat="1" applyBorder="1" applyAlignment="1">
      <alignment horizontal="left"/>
    </xf>
    <xf numFmtId="0" fontId="24" fillId="2" borderId="26" xfId="0" applyFont="1" applyFill="1" applyBorder="1" applyAlignment="1">
      <alignment horizontal="center" vertical="center"/>
    </xf>
    <xf numFmtId="49" fontId="0" fillId="0" borderId="6" xfId="0" applyNumberFormat="1" applyBorder="1" applyAlignment="1">
      <alignment horizontal="left"/>
    </xf>
    <xf numFmtId="49" fontId="0" fillId="0" borderId="4" xfId="0" applyNumberFormat="1" applyBorder="1" applyAlignment="1">
      <alignment horizontal="left" wrapText="1"/>
    </xf>
    <xf numFmtId="49" fontId="0" fillId="0" borderId="3" xfId="0" applyNumberFormat="1" applyBorder="1" applyAlignment="1">
      <alignment horizontal="left" vertical="center"/>
    </xf>
    <xf numFmtId="49" fontId="0" fillId="0" borderId="15" xfId="0" applyNumberFormat="1" applyBorder="1" applyAlignment="1">
      <alignment horizontal="left" vertical="center" wrapText="1"/>
    </xf>
    <xf numFmtId="49" fontId="0" fillId="0" borderId="6" xfId="0" applyNumberFormat="1" applyBorder="1" applyAlignment="1">
      <alignment horizontal="left" vertical="center"/>
    </xf>
    <xf numFmtId="49" fontId="0" fillId="0" borderId="4" xfId="0" applyNumberFormat="1" applyBorder="1" applyAlignment="1">
      <alignment horizontal="left" vertical="center" wrapText="1"/>
    </xf>
    <xf numFmtId="0" fontId="0" fillId="0" borderId="15" xfId="0" applyBorder="1" applyAlignment="1">
      <alignment horizontal="right" vertical="center"/>
    </xf>
    <xf numFmtId="4" fontId="0" fillId="0" borderId="15" xfId="0" applyNumberFormat="1" applyBorder="1" applyAlignment="1">
      <alignment vertical="center"/>
    </xf>
    <xf numFmtId="0" fontId="21" fillId="0" borderId="0" xfId="0" applyNumberFormat="1" applyFont="1" applyAlignment="1">
      <alignment horizontal="centerContinuous" vertical="center" wrapText="1"/>
    </xf>
    <xf numFmtId="0" fontId="22" fillId="0" borderId="0" xfId="0" applyNumberFormat="1" applyFont="1" applyAlignment="1">
      <alignment horizontal="centerContinuous" vertical="center" wrapText="1"/>
    </xf>
    <xf numFmtId="0" fontId="29" fillId="13" borderId="8" xfId="0" applyNumberFormat="1" applyFont="1" applyFill="1" applyBorder="1" applyAlignment="1">
      <alignment horizontal="centerContinuous" vertical="center" wrapText="1"/>
    </xf>
    <xf numFmtId="0" fontId="22" fillId="14" borderId="2" xfId="0" applyNumberFormat="1" applyFont="1" applyFill="1" applyBorder="1" applyAlignment="1">
      <alignment horizontal="centerContinuous" vertical="center"/>
    </xf>
    <xf numFmtId="3" fontId="30" fillId="13" borderId="32" xfId="0" applyNumberFormat="1" applyFont="1" applyFill="1" applyBorder="1" applyAlignment="1">
      <alignment horizontal="right" vertical="center"/>
    </xf>
    <xf numFmtId="3" fontId="21" fillId="14" borderId="33" xfId="0" applyNumberFormat="1" applyFont="1" applyFill="1" applyBorder="1" applyAlignment="1">
      <alignment horizontal="right" vertical="center"/>
    </xf>
    <xf numFmtId="0" fontId="10" fillId="12" borderId="15" xfId="0" applyFont="1" applyFill="1" applyBorder="1" applyAlignment="1">
      <alignment horizontal="left" vertical="center" wrapText="1"/>
    </xf>
    <xf numFmtId="4" fontId="11" fillId="12" borderId="15" xfId="0" applyNumberFormat="1" applyFont="1" applyFill="1" applyBorder="1" applyAlignment="1">
      <alignment horizontal="right" vertical="center"/>
    </xf>
    <xf numFmtId="49" fontId="10" fillId="12" borderId="15" xfId="0" applyNumberFormat="1" applyFont="1" applyFill="1" applyBorder="1" applyAlignment="1">
      <alignment horizontal="center" vertical="center"/>
    </xf>
    <xf numFmtId="4" fontId="10" fillId="12" borderId="15" xfId="0" applyNumberFormat="1" applyFont="1" applyFill="1" applyBorder="1" applyAlignment="1">
      <alignment horizontal="right" vertical="center"/>
    </xf>
    <xf numFmtId="9" fontId="10" fillId="12" borderId="15" xfId="0" applyNumberFormat="1" applyFont="1" applyFill="1" applyBorder="1" applyAlignment="1">
      <alignment horizontal="center" vertical="center"/>
    </xf>
    <xf numFmtId="3" fontId="10" fillId="12" borderId="15" xfId="0" applyNumberFormat="1" applyFont="1" applyFill="1" applyBorder="1" applyAlignment="1">
      <alignment horizontal="right"/>
    </xf>
    <xf numFmtId="0" fontId="10" fillId="13" borderId="15" xfId="0" applyFont="1" applyFill="1" applyBorder="1" applyAlignment="1">
      <alignment horizontal="left" vertical="center" wrapText="1"/>
    </xf>
    <xf numFmtId="4" fontId="11" fillId="13" borderId="15" xfId="0" applyNumberFormat="1" applyFont="1" applyFill="1" applyBorder="1" applyAlignment="1">
      <alignment horizontal="right" vertical="center"/>
    </xf>
    <xf numFmtId="49" fontId="10" fillId="13" borderId="15" xfId="0" applyNumberFormat="1" applyFont="1" applyFill="1" applyBorder="1" applyAlignment="1">
      <alignment horizontal="center" vertical="center"/>
    </xf>
    <xf numFmtId="4" fontId="10" fillId="13" borderId="15" xfId="0" applyNumberFormat="1" applyFont="1" applyFill="1" applyBorder="1" applyAlignment="1">
      <alignment horizontal="right" vertical="center"/>
    </xf>
    <xf numFmtId="9" fontId="10" fillId="13" borderId="15" xfId="0" applyNumberFormat="1" applyFont="1" applyFill="1" applyBorder="1" applyAlignment="1">
      <alignment horizontal="center" vertical="center"/>
    </xf>
    <xf numFmtId="3" fontId="10" fillId="13" borderId="15" xfId="0" applyNumberFormat="1" applyFont="1" applyFill="1" applyBorder="1" applyAlignment="1">
      <alignment horizontal="right"/>
    </xf>
    <xf numFmtId="0" fontId="10" fillId="14" borderId="15" xfId="0" applyFont="1" applyFill="1" applyBorder="1" applyAlignment="1">
      <alignment horizontal="left" vertical="center" wrapText="1"/>
    </xf>
    <xf numFmtId="4" fontId="11" fillId="14" borderId="15" xfId="0" applyNumberFormat="1" applyFont="1" applyFill="1" applyBorder="1" applyAlignment="1">
      <alignment horizontal="right" vertical="center"/>
    </xf>
    <xf numFmtId="49" fontId="10" fillId="14" borderId="15" xfId="0" applyNumberFormat="1" applyFont="1" applyFill="1" applyBorder="1" applyAlignment="1">
      <alignment horizontal="center" vertical="center"/>
    </xf>
    <xf numFmtId="4" fontId="10" fillId="14" borderId="15" xfId="0" applyNumberFormat="1" applyFont="1" applyFill="1" applyBorder="1" applyAlignment="1">
      <alignment horizontal="right" vertical="center"/>
    </xf>
    <xf numFmtId="9" fontId="10" fillId="14" borderId="15" xfId="0" applyNumberFormat="1" applyFont="1" applyFill="1" applyBorder="1" applyAlignment="1">
      <alignment horizontal="center" vertical="center"/>
    </xf>
    <xf numFmtId="3" fontId="10" fillId="14" borderId="15" xfId="0" applyNumberFormat="1" applyFont="1" applyFill="1" applyBorder="1" applyAlignment="1">
      <alignment horizontal="right"/>
    </xf>
    <xf numFmtId="0" fontId="10" fillId="15" borderId="15" xfId="0" applyFont="1" applyFill="1" applyBorder="1" applyAlignment="1">
      <alignment horizontal="left" vertical="center" wrapText="1"/>
    </xf>
    <xf numFmtId="4" fontId="11" fillId="15" borderId="15" xfId="0" applyNumberFormat="1" applyFont="1" applyFill="1" applyBorder="1" applyAlignment="1">
      <alignment horizontal="right" vertical="center"/>
    </xf>
    <xf numFmtId="49" fontId="10" fillId="15" borderId="15" xfId="0" applyNumberFormat="1" applyFont="1" applyFill="1" applyBorder="1" applyAlignment="1">
      <alignment horizontal="center" vertical="center"/>
    </xf>
    <xf numFmtId="4" fontId="10" fillId="15" borderId="15" xfId="0" applyNumberFormat="1" applyFont="1" applyFill="1" applyBorder="1" applyAlignment="1">
      <alignment horizontal="right" vertical="center"/>
    </xf>
    <xf numFmtId="9" fontId="10" fillId="15" borderId="15" xfId="0" applyNumberFormat="1" applyFont="1" applyFill="1" applyBorder="1" applyAlignment="1">
      <alignment horizontal="center" vertical="center"/>
    </xf>
    <xf numFmtId="3" fontId="10" fillId="15" borderId="15" xfId="0" applyNumberFormat="1" applyFont="1" applyFill="1" applyBorder="1" applyAlignment="1">
      <alignment horizontal="right"/>
    </xf>
    <xf numFmtId="0" fontId="10" fillId="16" borderId="15" xfId="0" applyFont="1" applyFill="1" applyBorder="1" applyAlignment="1">
      <alignment horizontal="left" vertical="center" wrapText="1"/>
    </xf>
    <xf numFmtId="4" fontId="11" fillId="16" borderId="15" xfId="0" applyNumberFormat="1" applyFont="1" applyFill="1" applyBorder="1" applyAlignment="1">
      <alignment horizontal="right" vertical="center"/>
    </xf>
    <xf numFmtId="49" fontId="10" fillId="16" borderId="15" xfId="0" applyNumberFormat="1" applyFont="1" applyFill="1" applyBorder="1" applyAlignment="1">
      <alignment horizontal="center" vertical="center"/>
    </xf>
    <xf numFmtId="4" fontId="10" fillId="16" borderId="15" xfId="0" applyNumberFormat="1" applyFont="1" applyFill="1" applyBorder="1" applyAlignment="1">
      <alignment horizontal="right" vertical="center"/>
    </xf>
    <xf numFmtId="9" fontId="10" fillId="16" borderId="15" xfId="0" applyNumberFormat="1" applyFont="1" applyFill="1" applyBorder="1" applyAlignment="1">
      <alignment horizontal="center" vertical="center"/>
    </xf>
    <xf numFmtId="3" fontId="10" fillId="16" borderId="15" xfId="0" applyNumberFormat="1" applyFont="1" applyFill="1" applyBorder="1" applyAlignment="1">
      <alignment horizontal="right"/>
    </xf>
    <xf numFmtId="0" fontId="10" fillId="17" borderId="15" xfId="0" applyFont="1" applyFill="1" applyBorder="1" applyAlignment="1">
      <alignment horizontal="left" vertical="center" wrapText="1"/>
    </xf>
    <xf numFmtId="4" fontId="11" fillId="17" borderId="15" xfId="0" applyNumberFormat="1" applyFont="1" applyFill="1" applyBorder="1" applyAlignment="1">
      <alignment horizontal="right" vertical="center"/>
    </xf>
    <xf numFmtId="49" fontId="10" fillId="17" borderId="15" xfId="0" applyNumberFormat="1" applyFont="1" applyFill="1" applyBorder="1" applyAlignment="1">
      <alignment horizontal="center" vertical="center"/>
    </xf>
    <xf numFmtId="4" fontId="10" fillId="17" borderId="15" xfId="0" applyNumberFormat="1" applyFont="1" applyFill="1" applyBorder="1" applyAlignment="1">
      <alignment horizontal="right" vertical="center"/>
    </xf>
    <xf numFmtId="9" fontId="10" fillId="17" borderId="15" xfId="0" applyNumberFormat="1" applyFont="1" applyFill="1" applyBorder="1" applyAlignment="1">
      <alignment horizontal="center" vertical="center"/>
    </xf>
    <xf numFmtId="3" fontId="10" fillId="17" borderId="15" xfId="0" applyNumberFormat="1" applyFont="1" applyFill="1" applyBorder="1" applyAlignment="1">
      <alignment horizontal="right"/>
    </xf>
    <xf numFmtId="0" fontId="10" fillId="17" borderId="15" xfId="0" applyNumberFormat="1" applyFont="1" applyFill="1" applyBorder="1" applyAlignment="1">
      <alignment horizontal="left" vertical="center" wrapText="1"/>
    </xf>
    <xf numFmtId="0" fontId="10" fillId="12" borderId="15" xfId="0" applyNumberFormat="1" applyFont="1" applyFill="1" applyBorder="1" applyAlignment="1">
      <alignment horizontal="left" vertical="center" wrapText="1"/>
    </xf>
    <xf numFmtId="0" fontId="29" fillId="13" borderId="35" xfId="0" applyNumberFormat="1" applyFont="1" applyFill="1" applyBorder="1" applyAlignment="1">
      <alignment horizontal="centerContinuous" vertical="center" wrapText="1"/>
    </xf>
    <xf numFmtId="0" fontId="22" fillId="14" borderId="34" xfId="0" applyNumberFormat="1" applyFont="1" applyFill="1" applyBorder="1" applyAlignment="1">
      <alignment horizontal="centerContinuous" vertical="center"/>
    </xf>
    <xf numFmtId="0" fontId="29" fillId="11" borderId="36" xfId="0" applyFont="1" applyFill="1" applyBorder="1" applyAlignment="1">
      <alignment horizontal="center" vertical="center" wrapText="1"/>
    </xf>
    <xf numFmtId="0" fontId="29" fillId="11" borderId="27" xfId="0" applyFont="1" applyFill="1" applyBorder="1" applyAlignment="1">
      <alignment horizontal="center" vertical="center" wrapText="1"/>
    </xf>
    <xf numFmtId="4" fontId="29" fillId="11" borderId="27" xfId="0" applyNumberFormat="1" applyFont="1" applyFill="1" applyBorder="1" applyAlignment="1">
      <alignment horizontal="right" vertical="center" wrapText="1"/>
    </xf>
    <xf numFmtId="0" fontId="29" fillId="11" borderId="27" xfId="0" applyFont="1" applyFill="1" applyBorder="1" applyAlignment="1">
      <alignment horizontal="center" vertical="center" wrapText="1"/>
    </xf>
    <xf numFmtId="0" fontId="29" fillId="15" borderId="37" xfId="0" applyNumberFormat="1" applyFont="1" applyFill="1" applyBorder="1" applyAlignment="1">
      <alignment horizontal="centerContinuous" vertical="center" wrapText="1"/>
    </xf>
    <xf numFmtId="0" fontId="29" fillId="15" borderId="28" xfId="0" applyNumberFormat="1" applyFont="1" applyFill="1" applyBorder="1" applyAlignment="1">
      <alignment horizontal="centerContinuous" vertical="center" wrapText="1"/>
    </xf>
    <xf numFmtId="3" fontId="30" fillId="15" borderId="38" xfId="0" applyNumberFormat="1" applyFont="1" applyFill="1" applyBorder="1" applyAlignment="1">
      <alignment horizontal="right" vertical="center"/>
    </xf>
    <xf numFmtId="0" fontId="29" fillId="11" borderId="39" xfId="0" applyFont="1" applyFill="1" applyBorder="1" applyAlignment="1">
      <alignment horizontal="center" vertical="center" wrapText="1"/>
    </xf>
    <xf numFmtId="3" fontId="10" fillId="12" borderId="40" xfId="0" applyNumberFormat="1" applyFont="1" applyFill="1" applyBorder="1" applyAlignment="1">
      <alignment horizontal="right"/>
    </xf>
    <xf numFmtId="3" fontId="10" fillId="13" borderId="40" xfId="0" applyNumberFormat="1" applyFont="1" applyFill="1" applyBorder="1" applyAlignment="1">
      <alignment horizontal="right"/>
    </xf>
    <xf numFmtId="3" fontId="10" fillId="14" borderId="40" xfId="0" applyNumberFormat="1" applyFont="1" applyFill="1" applyBorder="1" applyAlignment="1">
      <alignment horizontal="right"/>
    </xf>
    <xf numFmtId="3" fontId="10" fillId="15" borderId="40" xfId="0" applyNumberFormat="1" applyFont="1" applyFill="1" applyBorder="1" applyAlignment="1">
      <alignment horizontal="right"/>
    </xf>
    <xf numFmtId="3" fontId="10" fillId="16" borderId="40" xfId="0" applyNumberFormat="1" applyFont="1" applyFill="1" applyBorder="1" applyAlignment="1">
      <alignment horizontal="right"/>
    </xf>
    <xf numFmtId="3" fontId="10" fillId="17" borderId="40" xfId="0" applyNumberFormat="1" applyFont="1" applyFill="1" applyBorder="1" applyAlignment="1">
      <alignment horizontal="right"/>
    </xf>
    <xf numFmtId="3" fontId="30" fillId="13" borderId="41" xfId="0" applyNumberFormat="1" applyFont="1" applyFill="1" applyBorder="1" applyAlignment="1">
      <alignment horizontal="right" vertical="center"/>
    </xf>
    <xf numFmtId="3" fontId="21" fillId="14" borderId="42" xfId="0" applyNumberFormat="1" applyFont="1" applyFill="1" applyBorder="1" applyAlignment="1">
      <alignment horizontal="right" vertical="center"/>
    </xf>
    <xf numFmtId="3" fontId="30" fillId="15" borderId="43" xfId="0" applyNumberFormat="1" applyFont="1" applyFill="1" applyBorder="1" applyAlignment="1">
      <alignment horizontal="right" vertical="center"/>
    </xf>
    <xf numFmtId="0" fontId="0" fillId="0" borderId="0" xfId="0" applyFill="1" applyBorder="1"/>
    <xf numFmtId="0" fontId="10" fillId="12" borderId="3" xfId="0" applyFont="1" applyFill="1" applyBorder="1" applyAlignment="1">
      <alignment horizontal="left" vertical="center" wrapText="1"/>
    </xf>
    <xf numFmtId="0" fontId="0" fillId="0" borderId="44" xfId="0" applyFill="1" applyBorder="1"/>
    <xf numFmtId="0" fontId="10" fillId="13" borderId="3" xfId="0" applyFont="1" applyFill="1" applyBorder="1" applyAlignment="1">
      <alignment horizontal="left" vertical="center" wrapText="1"/>
    </xf>
    <xf numFmtId="0" fontId="10" fillId="14" borderId="3" xfId="0" applyFont="1" applyFill="1" applyBorder="1" applyAlignment="1">
      <alignment horizontal="left" vertical="center" wrapText="1"/>
    </xf>
    <xf numFmtId="0" fontId="10" fillId="15" borderId="3" xfId="0" applyFont="1" applyFill="1" applyBorder="1" applyAlignment="1">
      <alignment horizontal="left" vertical="center" wrapText="1"/>
    </xf>
    <xf numFmtId="0" fontId="10" fillId="16" borderId="3" xfId="0" applyFont="1" applyFill="1" applyBorder="1" applyAlignment="1">
      <alignment horizontal="left" vertical="center" wrapText="1"/>
    </xf>
    <xf numFmtId="0" fontId="10" fillId="17" borderId="3" xfId="0" applyFont="1" applyFill="1" applyBorder="1" applyAlignment="1">
      <alignment horizontal="left" vertical="center" wrapText="1"/>
    </xf>
    <xf numFmtId="0" fontId="0" fillId="0" borderId="45" xfId="0" applyFill="1" applyBorder="1"/>
    <xf numFmtId="0" fontId="0" fillId="0" borderId="46" xfId="0" applyFill="1" applyBorder="1"/>
    <xf numFmtId="0" fontId="11" fillId="0" borderId="45" xfId="0" applyFont="1" applyFill="1" applyBorder="1" applyAlignment="1">
      <alignment horizontal="center" vertical="center" wrapText="1"/>
    </xf>
    <xf numFmtId="49" fontId="10" fillId="17" borderId="3" xfId="0" applyNumberFormat="1" applyFont="1" applyFill="1" applyBorder="1" applyAlignment="1">
      <alignment horizontal="left" vertical="center" wrapText="1"/>
    </xf>
    <xf numFmtId="49" fontId="10" fillId="12" borderId="3" xfId="0" applyNumberFormat="1" applyFont="1" applyFill="1" applyBorder="1" applyAlignment="1">
      <alignment horizontal="left" vertical="center" wrapText="1"/>
    </xf>
    <xf numFmtId="0" fontId="11" fillId="0" borderId="44" xfId="0" applyFont="1" applyFill="1" applyBorder="1" applyAlignment="1">
      <alignment horizontal="right" wrapText="1"/>
    </xf>
    <xf numFmtId="0" fontId="1" fillId="0" borderId="15" xfId="0" applyFont="1" applyBorder="1" applyAlignment="1">
      <alignment horizontal="centerContinuous"/>
    </xf>
    <xf numFmtId="166" fontId="0" fillId="0" borderId="15" xfId="0" applyNumberFormat="1" applyBorder="1"/>
    <xf numFmtId="3" fontId="0" fillId="0" borderId="1" xfId="0" applyNumberFormat="1" applyBorder="1"/>
    <xf numFmtId="166" fontId="0" fillId="0" borderId="4" xfId="0" applyNumberFormat="1" applyBorder="1"/>
    <xf numFmtId="3" fontId="0" fillId="0" borderId="5" xfId="0" applyNumberFormat="1" applyBorder="1"/>
    <xf numFmtId="0" fontId="24" fillId="2" borderId="12" xfId="0" applyFont="1" applyFill="1" applyBorder="1" applyAlignment="1">
      <alignment horizontal="center" vertical="center" wrapText="1"/>
    </xf>
    <xf numFmtId="0" fontId="24" fillId="2" borderId="26" xfId="0" applyFont="1" applyFill="1" applyBorder="1" applyAlignment="1">
      <alignment horizontal="center" vertical="center" wrapText="1"/>
    </xf>
    <xf numFmtId="0" fontId="24" fillId="2" borderId="7" xfId="0" applyFont="1" applyFill="1" applyBorder="1" applyAlignment="1">
      <alignment horizontal="center" vertical="center" wrapText="1"/>
    </xf>
  </cellXfs>
  <cellStyles count="1">
    <cellStyle name="Normal" xfId="0" builtinId="0"/>
  </cellStyles>
  <dxfs count="147">
    <dxf>
      <alignment horizontal="general" vertical="bottom" textRotation="0" wrapText="1" indent="0" justifyLastLine="0" shrinkToFit="0" readingOrder="0"/>
    </dxf>
    <dxf>
      <numFmt numFmtId="30" formatCode="@"/>
      <alignment horizontal="left" vertical="bottom" textRotation="0" wrapText="1" indent="0" justifyLastLine="0" shrinkToFit="0" readingOrder="0"/>
      <border diagonalUp="0" diagonalDown="0" outline="0">
        <left style="thin">
          <color indexed="64"/>
        </left>
        <right style="thin">
          <color auto="1"/>
        </right>
        <top style="thin">
          <color auto="1"/>
        </top>
        <bottom style="thin">
          <color auto="1"/>
        </bottom>
      </border>
    </dxf>
    <dxf>
      <numFmt numFmtId="166" formatCode="#,##0.000"/>
      <border diagonalUp="0" diagonalDown="0" outline="0">
        <left style="thin">
          <color auto="1"/>
        </left>
        <right style="thin">
          <color auto="1"/>
        </right>
        <top style="thin">
          <color auto="1"/>
        </top>
        <bottom style="thin">
          <color auto="1"/>
        </bottom>
      </border>
    </dxf>
    <dxf>
      <numFmt numFmtId="30" formatCode="@"/>
      <alignment horizontal="left" vertical="bottom" textRotation="0" wrapText="0" indent="0" justifyLastLine="0" shrinkToFit="0" readingOrder="0"/>
      <border diagonalUp="0" diagonalDown="0" outline="0">
        <left/>
        <right style="thin">
          <color indexed="64"/>
        </right>
        <top style="thin">
          <color auto="1"/>
        </top>
        <bottom style="thin">
          <color auto="1"/>
        </bottom>
      </border>
    </dxf>
    <dxf>
      <font>
        <b/>
        <i val="0"/>
        <strike val="0"/>
        <condense val="0"/>
        <extend val="0"/>
        <outline val="0"/>
        <shadow val="0"/>
        <u val="none"/>
        <vertAlign val="baseline"/>
        <sz val="11"/>
        <color rgb="FF000000"/>
        <name val="Calibri"/>
        <family val="2"/>
        <scheme val="minor"/>
      </font>
      <fill>
        <patternFill patternType="solid">
          <fgColor indexed="64"/>
          <bgColor rgb="FFFFFFC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rgb="FF000000"/>
        <name val="Calibri"/>
        <family val="2"/>
        <scheme val="minor"/>
      </font>
      <fill>
        <patternFill patternType="solid">
          <fgColor indexed="64"/>
          <bgColor rgb="FFFFFFC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rgb="FF000000"/>
        <name val="Calibri"/>
        <family val="2"/>
        <scheme val="minor"/>
      </font>
      <fill>
        <patternFill patternType="solid">
          <fgColor indexed="64"/>
          <bgColor rgb="FFFFFFC8"/>
        </patternFill>
      </fill>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dxf>
    <dxf>
      <numFmt numFmtId="0" formatCode="General"/>
    </dxf>
    <dxf>
      <numFmt numFmtId="0" formatCode="General"/>
    </dxf>
    <dxf>
      <fill>
        <patternFill>
          <bgColor rgb="FFFF0000"/>
        </patternFill>
      </fill>
    </dxf>
    <dxf>
      <fill>
        <patternFill>
          <bgColor rgb="FFFFFF14"/>
        </patternFill>
      </fill>
    </dxf>
    <dxf>
      <fill>
        <patternFill>
          <bgColor rgb="FF92C850"/>
        </patternFill>
      </fill>
    </dxf>
    <dxf>
      <fill>
        <patternFill>
          <bgColor rgb="FFFFFF00"/>
        </patternFill>
      </fill>
    </dxf>
    <dxf>
      <fill>
        <patternFill>
          <bgColor rgb="FFFFFF0A"/>
        </patternFill>
      </fill>
    </dxf>
    <dxf>
      <fill>
        <patternFill>
          <bgColor rgb="FFFF0000"/>
        </patternFill>
      </fill>
    </dxf>
    <dxf>
      <fill>
        <patternFill>
          <bgColor rgb="FFFFFF00"/>
        </patternFill>
      </fill>
    </dxf>
    <dxf>
      <fill>
        <patternFill>
          <bgColor rgb="FF92C850"/>
        </patternFill>
      </fill>
    </dxf>
    <dxf>
      <fill>
        <patternFill>
          <bgColor rgb="FF92C850"/>
        </patternFill>
      </fill>
    </dxf>
    <dxf>
      <fill>
        <patternFill>
          <bgColor rgb="FFFFFF00"/>
        </patternFill>
      </fill>
    </dxf>
    <dxf>
      <fill>
        <patternFill>
          <bgColor rgb="FF92C850"/>
        </patternFill>
      </fill>
    </dxf>
    <dxf>
      <fill>
        <patternFill>
          <bgColor rgb="FFFFC7CE"/>
        </patternFill>
      </fill>
    </dxf>
    <dxf>
      <fill>
        <patternFill>
          <bgColor rgb="FFFF0000"/>
        </patternFill>
      </fill>
    </dxf>
    <dxf>
      <fill>
        <patternFill>
          <bgColor rgb="FFFFFF00"/>
        </patternFill>
      </fill>
    </dxf>
    <dxf>
      <fill>
        <patternFill>
          <bgColor rgb="FF92C850"/>
        </patternFill>
      </fill>
    </dxf>
    <dxf>
      <fill>
        <patternFill>
          <bgColor rgb="FFFFFF00"/>
        </patternFill>
      </fill>
    </dxf>
    <dxf>
      <fill>
        <patternFill>
          <bgColor rgb="FFFFFF96"/>
        </patternFill>
      </fill>
    </dxf>
    <dxf>
      <fill>
        <patternFill>
          <bgColor rgb="FFFF0000"/>
        </patternFill>
      </fill>
    </dxf>
    <dxf>
      <fill>
        <patternFill>
          <bgColor rgb="FF96FF50"/>
        </patternFill>
      </fill>
    </dxf>
    <dxf>
      <fill>
        <patternFill>
          <bgColor rgb="FF92C850"/>
        </patternFill>
      </fill>
    </dxf>
    <dxf>
      <fill>
        <patternFill>
          <bgColor rgb="FFFFFF00"/>
        </patternFill>
      </fill>
    </dxf>
    <dxf>
      <fill>
        <patternFill>
          <bgColor rgb="FFFFFF96"/>
        </patternFill>
      </fill>
    </dxf>
    <dxf>
      <fill>
        <patternFill>
          <bgColor rgb="FFFF0000"/>
        </patternFill>
      </fill>
    </dxf>
    <dxf>
      <fill>
        <patternFill>
          <bgColor rgb="FF96FF50"/>
        </patternFill>
      </fill>
    </dxf>
    <dxf>
      <fill>
        <patternFill>
          <bgColor rgb="FF92C850"/>
        </patternFill>
      </fill>
    </dxf>
    <dxf>
      <fill>
        <patternFill>
          <bgColor rgb="FF92C850"/>
        </patternFill>
      </fill>
    </dxf>
    <dxf>
      <fill>
        <patternFill>
          <bgColor rgb="FF92C850"/>
        </patternFill>
      </fill>
    </dxf>
    <dxf>
      <fill>
        <patternFill>
          <bgColor rgb="FFFFFF00"/>
        </patternFill>
      </fill>
    </dxf>
    <dxf>
      <fill>
        <patternFill>
          <bgColor rgb="FFFFC7CE"/>
        </patternFill>
      </fill>
    </dxf>
    <dxf>
      <fill>
        <patternFill>
          <bgColor rgb="FFFF0000"/>
        </patternFill>
      </fill>
    </dxf>
    <dxf>
      <fill>
        <patternFill>
          <bgColor rgb="FFFFFF00"/>
        </patternFill>
      </fill>
    </dxf>
    <dxf>
      <fill>
        <patternFill>
          <bgColor rgb="FF92C850"/>
        </patternFill>
      </fill>
    </dxf>
    <dxf>
      <fill>
        <patternFill>
          <bgColor rgb="FFFFFF00"/>
        </patternFill>
      </fill>
    </dxf>
    <dxf>
      <fill>
        <patternFill>
          <bgColor rgb="FFFFFF96"/>
        </patternFill>
      </fill>
    </dxf>
    <dxf>
      <fill>
        <patternFill>
          <bgColor rgb="FFFF0000"/>
        </patternFill>
      </fill>
    </dxf>
    <dxf>
      <fill>
        <patternFill>
          <bgColor rgb="FF96FF50"/>
        </patternFill>
      </fill>
    </dxf>
    <dxf>
      <fill>
        <patternFill>
          <bgColor rgb="FF92C850"/>
        </patternFill>
      </fill>
    </dxf>
    <dxf>
      <fill>
        <patternFill>
          <bgColor rgb="FFFFFF00"/>
        </patternFill>
      </fill>
    </dxf>
    <dxf>
      <fill>
        <patternFill>
          <bgColor rgb="FFFFFF96"/>
        </patternFill>
      </fill>
    </dxf>
    <dxf>
      <fill>
        <patternFill>
          <bgColor rgb="FFFF0000"/>
        </patternFill>
      </fill>
    </dxf>
    <dxf>
      <fill>
        <patternFill>
          <bgColor rgb="FF96FF50"/>
        </patternFill>
      </fill>
    </dxf>
    <dxf>
      <fill>
        <patternFill>
          <bgColor rgb="FF92C850"/>
        </patternFill>
      </fill>
    </dxf>
    <dxf>
      <fill>
        <patternFill>
          <bgColor rgb="FF92C850"/>
        </patternFill>
      </fill>
    </dxf>
    <dxf>
      <fill>
        <patternFill>
          <bgColor rgb="FF92C850"/>
        </patternFill>
      </fill>
    </dxf>
    <dxf>
      <fill>
        <patternFill>
          <bgColor rgb="FFFFFF00"/>
        </patternFill>
      </fill>
    </dxf>
    <dxf>
      <fill>
        <patternFill>
          <bgColor rgb="FFFFC7CE"/>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fill>
        <patternFill>
          <bgColor rgb="FFFA0000"/>
        </patternFill>
      </fill>
    </dxf>
    <dxf>
      <border outline="0">
        <bottom style="thin">
          <color auto="1"/>
        </bottom>
      </border>
    </dxf>
    <dxf>
      <border outline="0">
        <top style="thin">
          <color auto="1"/>
        </top>
      </border>
    </dxf>
    <dxf>
      <border outline="0">
        <bottom style="thin">
          <color auto="1"/>
        </bottom>
      </border>
    </dxf>
    <dxf>
      <border outline="0">
        <top style="thin">
          <color auto="1"/>
        </top>
      </border>
    </dxf>
    <dxf>
      <numFmt numFmtId="3" formatCode="#,##0"/>
      <border diagonalUp="0" diagonalDown="0" outline="0">
        <left style="thin">
          <color indexed="64"/>
        </left>
        <right/>
        <top style="thin">
          <color indexed="64"/>
        </top>
        <bottom/>
      </border>
    </dxf>
    <dxf>
      <border diagonalUp="0" diagonalDown="0" outline="0">
        <left style="thin">
          <color indexed="64"/>
        </left>
        <right style="thin">
          <color indexed="64"/>
        </right>
        <top style="thin">
          <color auto="1"/>
        </top>
        <bottom/>
      </border>
    </dxf>
    <dxf>
      <border diagonalUp="0" diagonalDown="0" outline="0">
        <left style="thin">
          <color indexed="64"/>
        </left>
        <right style="thin">
          <color auto="1"/>
        </right>
        <top/>
        <bottom/>
      </border>
    </dxf>
    <dxf>
      <border diagonalUp="0" diagonalDown="0" outline="0">
        <left style="thin">
          <color indexed="64"/>
        </left>
        <right style="thin">
          <color auto="1"/>
        </right>
        <top/>
        <bottom/>
      </border>
    </dxf>
    <dxf>
      <alignment horizontal="left" vertical="bottom" textRotation="0" wrapText="0" indent="0" justifyLastLine="0" shrinkToFit="0" readingOrder="0"/>
      <border diagonalUp="0" diagonalDown="0" outline="0">
        <left style="thin">
          <color indexed="64"/>
        </left>
        <right style="thin">
          <color auto="1"/>
        </right>
        <top/>
        <bottom/>
      </border>
    </dxf>
    <dxf>
      <alignment horizontal="left" vertical="bottom" textRotation="0" wrapText="0" indent="0" justifyLastLine="0" shrinkToFit="0" readingOrder="0"/>
      <border diagonalUp="0" diagonalDown="0" outline="0">
        <left/>
        <right style="thin">
          <color indexed="64"/>
        </right>
        <top/>
        <bottom/>
      </border>
    </dxf>
    <dxf>
      <numFmt numFmtId="3" formatCode="#,##0"/>
      <border diagonalUp="0" diagonalDown="0">
        <left style="thin">
          <color indexed="64"/>
        </left>
        <right/>
        <top style="thin">
          <color indexed="64"/>
        </top>
        <bottom style="thin">
          <color indexed="64"/>
        </bottom>
        <vertical/>
        <horizontal/>
      </border>
    </dxf>
    <dxf>
      <border diagonalUp="0" diagonalDown="0">
        <left style="thin">
          <color indexed="64"/>
        </left>
        <right style="thin">
          <color auto="1"/>
        </right>
        <top style="thin">
          <color auto="1"/>
        </top>
        <bottom style="thin">
          <color auto="1"/>
        </bottom>
        <vertical/>
        <horizontal/>
      </border>
    </dxf>
    <dxf>
      <border diagonalUp="0" diagonalDown="0">
        <left style="thin">
          <color indexed="64"/>
        </left>
        <right style="thin">
          <color auto="1"/>
        </right>
        <top style="thin">
          <color auto="1"/>
        </top>
        <bottom style="thin">
          <color auto="1"/>
        </bottom>
        <vertical/>
        <horizontal/>
      </border>
    </dxf>
    <dxf>
      <border outline="0">
        <top style="thin">
          <color indexed="64"/>
        </top>
      </border>
    </dxf>
    <dxf>
      <border outline="0">
        <bottom style="thin">
          <color indexed="64"/>
        </bottom>
      </border>
    </dxf>
    <dxf>
      <border outline="0">
        <left style="thin">
          <color indexed="64"/>
        </left>
        <right style="thin">
          <color auto="1"/>
        </right>
        <top style="thin">
          <color indexed="64"/>
        </top>
        <bottom style="thin">
          <color indexed="64"/>
        </bottom>
      </border>
    </dxf>
    <dxf>
      <alignment horizontal="general" vertical="bottom" textRotation="0" wrapText="1" indent="0" justifyLastLine="0" shrinkToFit="0" readingOrder="0"/>
    </dxf>
    <dxf>
      <numFmt numFmtId="30" formatCode="@"/>
      <alignment horizontal="left" vertical="bottom" textRotation="0" wrapText="1" indent="0" justifyLastLine="0" shrinkToFit="0" readingOrder="0"/>
      <border diagonalUp="0" diagonalDown="0" outline="0">
        <left style="thin">
          <color indexed="64"/>
        </left>
        <right style="thin">
          <color auto="1"/>
        </right>
        <top style="thin">
          <color auto="1"/>
        </top>
        <bottom style="thin">
          <color auto="1"/>
        </bottom>
      </border>
    </dxf>
    <dxf>
      <numFmt numFmtId="166" formatCode="#,##0.000"/>
      <border diagonalUp="0" diagonalDown="0" outline="0">
        <left style="thin">
          <color auto="1"/>
        </left>
        <right style="thin">
          <color auto="1"/>
        </right>
        <top style="thin">
          <color auto="1"/>
        </top>
        <bottom style="thin">
          <color auto="1"/>
        </bottom>
      </border>
    </dxf>
    <dxf>
      <numFmt numFmtId="30" formatCode="@"/>
      <alignment horizontal="left" vertical="bottom" textRotation="0" wrapText="0" indent="0" justifyLastLine="0" shrinkToFit="0" readingOrder="0"/>
      <border diagonalUp="0" diagonalDown="0" outline="0">
        <left/>
        <right style="thin">
          <color indexed="64"/>
        </right>
        <top style="thin">
          <color auto="1"/>
        </top>
        <bottom style="thin">
          <color auto="1"/>
        </bottom>
      </border>
    </dxf>
    <dxf>
      <font>
        <b/>
        <i val="0"/>
        <strike val="0"/>
        <condense val="0"/>
        <extend val="0"/>
        <outline val="0"/>
        <shadow val="0"/>
        <u val="none"/>
        <vertAlign val="baseline"/>
        <sz val="11"/>
        <color rgb="FF000000"/>
        <name val="Calibri"/>
        <family val="2"/>
        <scheme val="minor"/>
      </font>
      <fill>
        <patternFill patternType="solid">
          <fgColor indexed="64"/>
          <bgColor rgb="FFFFFFC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rgb="FF000000"/>
        <name val="Calibri"/>
        <family val="2"/>
        <scheme val="minor"/>
      </font>
      <fill>
        <patternFill patternType="solid">
          <fgColor indexed="64"/>
          <bgColor rgb="FFFFFFC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rgb="FF000000"/>
        <name val="Calibri"/>
        <family val="2"/>
        <scheme val="minor"/>
      </font>
      <fill>
        <patternFill patternType="solid">
          <fgColor indexed="64"/>
          <bgColor rgb="FFFFFFC8"/>
        </patternFill>
      </fill>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border outline="0">
        <bottom style="thin">
          <color auto="1"/>
        </bottom>
      </border>
    </dxf>
    <dxf>
      <border outline="0">
        <top style="thin">
          <color auto="1"/>
        </top>
      </border>
    </dxf>
    <dxf>
      <border outline="0">
        <bottom style="thin">
          <color auto="1"/>
        </bottom>
      </border>
    </dxf>
    <dxf>
      <border outline="0">
        <top style="thin">
          <color auto="1"/>
        </top>
      </border>
    </dxf>
    <dxf>
      <numFmt numFmtId="3" formatCode="#,##0"/>
      <border diagonalUp="0" diagonalDown="0" outline="0">
        <left style="thin">
          <color indexed="64"/>
        </left>
        <right/>
        <top style="thin">
          <color indexed="64"/>
        </top>
        <bottom/>
      </border>
    </dxf>
    <dxf>
      <border diagonalUp="0" diagonalDown="0" outline="0">
        <left style="thin">
          <color indexed="64"/>
        </left>
        <right style="thin">
          <color indexed="64"/>
        </right>
        <top style="thin">
          <color auto="1"/>
        </top>
        <bottom/>
      </border>
    </dxf>
    <dxf>
      <border diagonalUp="0" diagonalDown="0" outline="0">
        <left style="thin">
          <color indexed="64"/>
        </left>
        <right style="thin">
          <color auto="1"/>
        </right>
        <top/>
        <bottom/>
      </border>
    </dxf>
    <dxf>
      <border diagonalUp="0" diagonalDown="0" outline="0">
        <left style="thin">
          <color indexed="64"/>
        </left>
        <right style="thin">
          <color auto="1"/>
        </right>
        <top/>
        <bottom/>
      </border>
    </dxf>
    <dxf>
      <alignment horizontal="left" vertical="bottom" textRotation="0" wrapText="0" indent="0" justifyLastLine="0" shrinkToFit="0" readingOrder="0"/>
      <border diagonalUp="0" diagonalDown="0" outline="0">
        <left style="thin">
          <color indexed="64"/>
        </left>
        <right style="thin">
          <color auto="1"/>
        </right>
        <top/>
        <bottom/>
      </border>
    </dxf>
    <dxf>
      <alignment horizontal="left" vertical="bottom" textRotation="0" wrapText="0" indent="0" justifyLastLine="0" shrinkToFit="0" readingOrder="0"/>
      <border diagonalUp="0" diagonalDown="0" outline="0">
        <left/>
        <right style="thin">
          <color indexed="64"/>
        </right>
        <top/>
        <bottom/>
      </border>
    </dxf>
    <dxf>
      <numFmt numFmtId="3" formatCode="#,##0"/>
      <border diagonalUp="0" diagonalDown="0">
        <left style="thin">
          <color indexed="64"/>
        </left>
        <right/>
        <top style="thin">
          <color indexed="64"/>
        </top>
        <bottom style="thin">
          <color indexed="64"/>
        </bottom>
        <vertical/>
        <horizontal/>
      </border>
    </dxf>
    <dxf>
      <border diagonalUp="0" diagonalDown="0">
        <left style="thin">
          <color indexed="64"/>
        </left>
        <right style="thin">
          <color auto="1"/>
        </right>
        <top style="thin">
          <color auto="1"/>
        </top>
        <bottom style="thin">
          <color auto="1"/>
        </bottom>
        <vertical/>
        <horizontal/>
      </border>
    </dxf>
    <dxf>
      <border diagonalUp="0" diagonalDown="0">
        <left style="thin">
          <color indexed="64"/>
        </left>
        <right style="thin">
          <color auto="1"/>
        </right>
        <top style="thin">
          <color auto="1"/>
        </top>
        <bottom style="thin">
          <color auto="1"/>
        </bottom>
        <vertical/>
        <horizontal/>
      </border>
    </dxf>
    <dxf>
      <border outline="0">
        <top style="thin">
          <color indexed="64"/>
        </top>
      </border>
    </dxf>
    <dxf>
      <border outline="0">
        <bottom style="thin">
          <color indexed="64"/>
        </bottom>
      </border>
    </dxf>
    <dxf>
      <border outline="0">
        <left style="thin">
          <color indexed="64"/>
        </left>
        <right style="thin">
          <color auto="1"/>
        </right>
        <top style="thin">
          <color indexed="64"/>
        </top>
        <bottom style="thin">
          <color indexed="64"/>
        </bottom>
      </border>
    </dxf>
    <dxf>
      <numFmt numFmtId="3" formatCode="#,##0"/>
      <alignment vertical="center" textRotation="0" indent="0" justifyLastLine="0" shrinkToFit="0" readingOrder="0"/>
      <border diagonalUp="0" diagonalDown="0" outline="0">
        <left style="thin">
          <color auto="1"/>
        </left>
        <right/>
        <top style="thin">
          <color indexed="64"/>
        </top>
        <bottom style="thin">
          <color indexed="64"/>
        </bottom>
      </border>
    </dxf>
    <dxf>
      <numFmt numFmtId="4" formatCode="#,##0.00"/>
      <alignment vertical="center" textRotation="0" indent="0" justifyLastLine="0" shrinkToFit="0" readingOrder="0"/>
      <border diagonalUp="0" diagonalDown="0" outline="0">
        <left style="thin">
          <color auto="1"/>
        </left>
        <right style="thin">
          <color indexed="64"/>
        </right>
        <top style="thin">
          <color auto="1"/>
        </top>
        <bottom style="thin">
          <color auto="1"/>
        </bottom>
      </border>
    </dxf>
    <dxf>
      <alignment horizontal="center" vertical="center" textRotation="0" wrapText="0" indent="0" justifyLastLine="0" shrinkToFit="0" readingOrder="0"/>
      <border diagonalUp="0" diagonalDown="0" outline="0">
        <left style="thin">
          <color auto="1"/>
        </left>
        <right style="thin">
          <color indexed="64"/>
        </right>
        <top style="thin">
          <color auto="1"/>
        </top>
        <bottom style="thin">
          <color auto="1"/>
        </bottom>
      </border>
    </dxf>
    <dxf>
      <alignment horizontal="right" vertical="center" textRotation="0" wrapText="0" indent="0" justifyLastLine="0" shrinkToFit="0" readingOrder="0"/>
      <border diagonalUp="0" diagonalDown="0" outline="0">
        <left style="thin">
          <color indexed="64"/>
        </left>
        <right style="thin">
          <color indexed="64"/>
        </right>
        <top style="thin">
          <color auto="1"/>
        </top>
        <bottom style="thin">
          <color auto="1"/>
        </bottom>
      </border>
    </dxf>
    <dxf>
      <numFmt numFmtId="30" formatCode="@"/>
      <alignment horizontal="left" vertical="center" textRotation="0" wrapText="1" indent="0" justifyLastLine="0" shrinkToFit="0" readingOrder="0"/>
      <border diagonalUp="0" diagonalDown="0" outline="0">
        <left style="thin">
          <color indexed="64"/>
        </left>
        <right style="thin">
          <color indexed="64"/>
        </right>
        <top style="thin">
          <color auto="1"/>
        </top>
        <bottom style="thin">
          <color auto="1"/>
        </bottom>
      </border>
    </dxf>
    <dxf>
      <numFmt numFmtId="30" formatCode="@"/>
      <alignment horizontal="left" vertical="center" textRotation="0" wrapText="1" indent="0" justifyLastLine="0" shrinkToFit="0" readingOrder="0"/>
      <border diagonalUp="0" diagonalDown="0" outline="0">
        <left style="thin">
          <color indexed="64"/>
        </left>
        <right style="thin">
          <color indexed="64"/>
        </right>
        <top style="thin">
          <color auto="1"/>
        </top>
        <bottom style="thin">
          <color auto="1"/>
        </bottom>
      </border>
    </dxf>
    <dxf>
      <numFmt numFmtId="30" formatCode="@"/>
      <alignment horizontal="left" vertical="center" textRotation="0" wrapText="0" indent="0" justifyLastLine="0" shrinkToFit="0" readingOrder="0"/>
      <border diagonalUp="0" diagonalDown="0" outline="0">
        <left/>
        <right style="thin">
          <color indexed="64"/>
        </right>
        <top style="thin">
          <color auto="1"/>
        </top>
        <bottom style="thin">
          <color auto="1"/>
        </bottom>
      </border>
    </dxf>
    <dxf>
      <alignment vertical="center" textRotation="0" indent="0" justifyLastLine="0" shrinkToFit="0" readingOrder="0"/>
    </dxf>
    <dxf>
      <numFmt numFmtId="4" formatCode="#,##0.00"/>
      <border diagonalUp="0" diagonalDown="0" outline="0">
        <left style="thin">
          <color indexed="64"/>
        </left>
        <right/>
        <top style="thin">
          <color indexed="64"/>
        </top>
        <bottom/>
      </border>
    </dxf>
    <dxf>
      <border diagonalUp="0" diagonalDown="0" outline="0">
        <left style="thin">
          <color indexed="64"/>
        </left>
        <right style="thin">
          <color indexed="64"/>
        </right>
        <top style="thin">
          <color auto="1"/>
        </top>
        <bottom/>
      </border>
    </dxf>
    <dxf>
      <border diagonalUp="0" diagonalDown="0" outline="0">
        <left style="thin">
          <color indexed="64"/>
        </left>
        <right style="thin">
          <color auto="1"/>
        </right>
        <top/>
        <bottom/>
      </border>
    </dxf>
    <dxf>
      <border diagonalUp="0" diagonalDown="0" outline="0">
        <left style="thin">
          <color indexed="64"/>
        </left>
        <right style="thin">
          <color auto="1"/>
        </right>
        <top/>
        <bottom/>
      </border>
    </dxf>
    <dxf>
      <alignment horizontal="left" vertical="bottom" textRotation="0" wrapText="1" indent="0" justifyLastLine="0" shrinkToFit="0" readingOrder="0"/>
      <border diagonalUp="0" diagonalDown="0" outline="0">
        <left style="thin">
          <color indexed="64"/>
        </left>
        <right style="thin">
          <color auto="1"/>
        </right>
        <top/>
        <bottom/>
      </border>
    </dxf>
    <dxf>
      <alignment horizontal="left" vertical="bottom" textRotation="0" wrapText="0" indent="0" justifyLastLine="0" shrinkToFit="0" readingOrder="0"/>
      <border diagonalUp="0" diagonalDown="0" outline="0">
        <left style="thin">
          <color indexed="64"/>
        </left>
        <right style="thin">
          <color auto="1"/>
        </right>
        <top/>
        <bottom/>
      </border>
    </dxf>
    <dxf>
      <alignment horizontal="left" vertical="bottom"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1"/>
        <color rgb="FF000000"/>
        <name val="Calibri"/>
        <family val="2"/>
        <scheme val="minor"/>
      </font>
      <fill>
        <patternFill patternType="solid">
          <fgColor indexed="64"/>
          <bgColor rgb="FFFFFFC8"/>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border outline="0">
        <left style="thin">
          <color indexed="64"/>
        </left>
        <right style="thin">
          <color auto="1"/>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1C3DD1C-1B0A-4049-A135-FA29311B34C7}" name="SummaryTable_20260619_202325" displayName="SummaryTable_20260619_202325" ref="A2:F18" totalsRowCount="1" headerRowDxfId="6" headerRowBorderDxfId="97" tableBorderDxfId="98" totalsRowBorderDxfId="96">
  <autoFilter ref="A2:F17" xr:uid="{61C3DD1C-1B0A-4049-A135-FA29311B34C7}"/>
  <tableColumns count="6">
    <tableColumn id="1" xr3:uid="{BA38D22C-3675-4551-9EA3-2A33C4D44F69}" name="Sr." totalsRowLabel="Total" dataDxfId="3" totalsRowDxfId="92"/>
    <tableColumn id="2" xr3:uid="{7D0F4F5A-C727-46C3-8566-7F5710B9609A}" name="Item No" dataDxfId="1" totalsRowDxfId="91"/>
    <tableColumn id="3" xr3:uid="{07D514C7-7175-4807-B561-F91D1BDE3D33}" name="Qty" totalsRowFunction="sum" dataDxfId="2" totalsRowDxfId="88"/>
    <tableColumn id="4" xr3:uid="{B080BCD0-3117-43F6-9F58-C5DB33408C72}" name="Unit" dataDxfId="95" totalsRowDxfId="90"/>
    <tableColumn id="5" xr3:uid="{AFCD20C5-ABAC-4DB7-8729-7D76E404891E}" name="Rate" dataDxfId="94" totalsRowDxfId="89"/>
    <tableColumn id="6" xr3:uid="{196215CA-D25E-4254-A846-944A8BE0BE13}" name="Amount" totalsRowFunction="sum" dataDxfId="93" totalsRowDxfId="87">
      <calculatedColumnFormula>ROUND(C3*E3,0)</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58B690-194E-4C5D-BDC2-2D42A4B82A41}" name="PortalTable_20260619_202325" displayName="PortalTable_20260619_202325" ref="H2:N18" totalsRowCount="1" headerRowDxfId="5" headerRowBorderDxfId="85" tableBorderDxfId="86">
  <autoFilter ref="H2:N17" xr:uid="{B758B690-194E-4C5D-BDC2-2D42A4B82A41}"/>
  <tableColumns count="7">
    <tableColumn id="1" xr3:uid="{A701BB40-62BC-4C78-BFF8-1C0A8AD5FE4D}" name="Unit." totalsRowLabel="Total"/>
    <tableColumn id="2" xr3:uid="{F83D4AAA-D585-4936-9527-E60867BCC441}" name="Item No" dataDxfId="0"/>
    <tableColumn id="3" xr3:uid="{11F8B86A-AEC2-459F-8E34-5F8832ED749B}" name="DNIT Qty" totalsRowFunction="sum"/>
    <tableColumn id="4" xr3:uid="{2B03DA3B-F523-4AB6-8838-C6B003171E67}" name="Previously Executed Qty" totalsRowFunction="sum"/>
    <tableColumn id="5" xr3:uid="{E78FC700-76B1-441F-B7F2-944C09F4916D}" name="Remaining DNIT Qty" totalsRowFunction="sum"/>
    <tableColumn id="6" xr3:uid="{E68B1AA8-5520-4A1E-821E-24561DC49FC3}" name="Rate"/>
    <tableColumn id="7" xr3:uid="{B0E8FA33-F0E0-4091-9883-2EBA176B13AF}" name="Amount" totalsRowFunction="sum"/>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E59364F-4D2A-4EC6-AFB9-0AAB0D95689F}" name="CompareTable_20260619_202325" displayName="CompareTable_20260619_202325" ref="P2:R18" totalsRowCount="1" headerRowDxfId="4" headerRowBorderDxfId="83" tableBorderDxfId="84">
  <autoFilter ref="P2:R17" xr:uid="{3E59364F-4D2A-4EC6-AFB9-0AAB0D95689F}"/>
  <tableColumns count="3">
    <tableColumn id="1" xr3:uid="{9C6B0F61-D8FB-412A-8E4E-7B3ADC52E691}" name="Qty Variation" totalsRowFunction="sum" dataDxfId="9">
      <calculatedColumnFormula>IF(L3&lt;&gt;"",L3-C3,0)</calculatedColumnFormula>
    </tableColumn>
    <tableColumn id="2" xr3:uid="{8B7A4A25-0C81-42AE-B79F-F5857DC4F6C9}" name="Amount Variation" totalsRowFunction="sum" dataDxfId="8">
      <calculatedColumnFormula>IF(AND(N3&lt;&gt;"",R3&lt;&gt;""),ROUND(N3-F3,0),0)</calculatedColumnFormula>
    </tableColumn>
    <tableColumn id="3" xr3:uid="{09FA40A1-AA64-402D-8D63-0C73907F94DD}" name="Status" totalsRowFunction="count" dataDxfId="7">
      <calculatedColumnFormula>IF(AND(LEN(B3)&gt;0,LEN(I3)&gt;0,B3=I3),IF(P3&lt;0,"Increase Qty",IF(P3&gt;0,"Decrease Qty","")),IF(AND(LEN(B3)&gt;0,LEN(I3)=0),"Add Item",IF(AND(LEN(B3)=0,LEN(I3)&gt;0, K3=0),"Remove Item",IF(P3&gt;0,"Decrease Qty",""))))</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9A03366-7100-4F2A-9902-11D15707B8C9}" name="SummaryTable_20260619_202303" displayName="SummaryTable_20260619_202303" ref="A2:F18" totalsRowCount="1" headerRowDxfId="105" headerRowBorderDxfId="126" tableBorderDxfId="127" totalsRowBorderDxfId="125">
  <autoFilter ref="A2:F17" xr:uid="{19A03366-7100-4F2A-9902-11D15707B8C9}"/>
  <tableColumns count="6">
    <tableColumn id="1" xr3:uid="{E8240C33-A32A-4C7A-9941-825D96151216}" name="Sr." totalsRowLabel="Total" dataDxfId="102" totalsRowDxfId="121"/>
    <tableColumn id="2" xr3:uid="{F15F9750-F619-4B54-B962-BFC3962DB3D3}" name="Item No" dataDxfId="100" totalsRowDxfId="120"/>
    <tableColumn id="3" xr3:uid="{580D1C7D-2622-4501-8EC4-31A934643BF5}" name="Qty" totalsRowFunction="sum" dataDxfId="101" totalsRowDxfId="117"/>
    <tableColumn id="4" xr3:uid="{F206A671-5BA4-4583-BBF3-9A35B3D97211}" name="Unit" dataDxfId="124" totalsRowDxfId="119"/>
    <tableColumn id="5" xr3:uid="{24C48FFB-AD7F-43C4-87D3-B7233AE13435}" name="Rate" dataDxfId="123" totalsRowDxfId="118"/>
    <tableColumn id="6" xr3:uid="{C6BF184B-225B-41BF-BF5A-54C30453BE87}" name="Amount" totalsRowFunction="sum" dataDxfId="122" totalsRowDxfId="116">
      <calculatedColumnFormula>ROUND(C3*E3,0)</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9D7B99C-29D6-41F7-A92D-1FB44E9279EF}" name="PortalTable_20260619_202303" displayName="PortalTable_20260619_202303" ref="H2:N18" totalsRowCount="1" headerRowDxfId="104" headerRowBorderDxfId="114" tableBorderDxfId="115">
  <autoFilter ref="H2:N17" xr:uid="{09D7B99C-29D6-41F7-A92D-1FB44E9279EF}"/>
  <tableColumns count="7">
    <tableColumn id="1" xr3:uid="{152102E5-6169-4882-916A-FFA00150CFE5}" name="Sr." totalsRowLabel="Total"/>
    <tableColumn id="2" xr3:uid="{AF0C2452-DF7B-47F9-8A2A-F09792DB1F3D}" name="Item No" dataDxfId="99"/>
    <tableColumn id="3" xr3:uid="{20CA886A-9763-452D-B8B3-75AC63EB17AE}" name="Qty" totalsRowFunction="sum"/>
    <tableColumn id="4" xr3:uid="{33EBDA5C-09FA-4ECB-891D-F82972521F79}" name="Unit"/>
    <tableColumn id="5" xr3:uid="{61F5CAFF-65E4-4C1C-B012-2D8DFEB17AC2}" name="Rate"/>
    <tableColumn id="6" xr3:uid="{D5A85256-B0F8-4C79-87D9-C89990913DB1}" name="Amount" totalsRowFunction="sum"/>
    <tableColumn id="7" xr3:uid="{3D2FDCD0-861C-49D1-AB42-8B85921C41B8}" name="Remaining DNIT Qty" totalsRowFunction="count"/>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D431DD0-2D0C-477A-9F4F-A3109E4167F0}" name="CompareTable_20260619_202303" displayName="CompareTable_20260619_202303" ref="P2:U18" totalsRowCount="1" headerRowDxfId="103" headerRowBorderDxfId="112" tableBorderDxfId="113">
  <autoFilter ref="P2:U17" xr:uid="{0D431DD0-2D0C-477A-9F4F-A3109E4167F0}"/>
  <tableColumns count="6">
    <tableColumn id="1" xr3:uid="{FD3FFD79-A49B-4EF2-95B9-D1EA0C2F31BD}" name="Qty Diff" totalsRowLabel="Total" dataDxfId="111">
      <calculatedColumnFormula>ROUND(IF(J3&lt;&gt;"",C3-J3,0),2)</calculatedColumnFormula>
    </tableColumn>
    <tableColumn id="2" xr3:uid="{CADB7BF9-232E-455F-8698-8FA756A2E937}" name="Rate" dataDxfId="110">
      <calculatedColumnFormula>IF(L3&lt;&gt;"",E3-L3,0)</calculatedColumnFormula>
    </tableColumn>
    <tableColumn id="3" xr3:uid="{FD4C8F18-8028-46E7-8E9C-EF8185889856}" name="Amount" totalsRowFunction="sum" dataDxfId="109">
      <calculatedColumnFormula>IF(M3&lt;&gt;"",F3-M3,0)</calculatedColumnFormula>
    </tableColumn>
    <tableColumn id="4" xr3:uid="{2E53645B-7DFC-4B5B-ACD2-0BDEBF2A7BB1}" name="DNIT Diff" dataDxfId="108">
      <calculatedColumnFormula>IF(N3&lt;&gt;"",N3-C3,0-C3)</calculatedColumnFormula>
    </tableColumn>
    <tableColumn id="5" xr3:uid="{C211795D-3778-44E6-8C1E-E2A25923B2E3}" name="Contractor Action" dataDxfId="107">
      <calculatedColumnFormula>IF(AND(LEN(B3 )&gt;0, LEN(I3 )&gt;0), IF(P3 = 0,"Matched",IF(P3 &lt;0,"Delete Extra Qty in Portal","Add Qty in Portal")),"")</calculatedColumnFormula>
    </tableColumn>
    <tableColumn id="6" xr3:uid="{D7514CBF-4CEB-462D-83DD-04D6B2980F94}" name="JE Action" totalsRowFunction="count" dataDxfId="106">
      <calculatedColumnFormula>IF(AND(LEN(B3)&gt;0,LEN(I3)&gt;0,B3=I3),IF(S3&lt;0,"DNIT Qty is less, Ask JE for increase qty",IF(S3&gt;0,"OK","")),IF(AND(LEN(B3)&gt;0,LEN(I3)=0),"Item not in DNIT, Ask JE to Add",IF(AND(LEN(B3)=0,LEN(I3)&gt;0),"Extra items in DNIT","")))</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BC84725-49FD-4577-890F-299489B3ABDB}" name="SummaryTable_20260619_202153" displayName="SummaryTable_20260619_202153" ref="A2:G18" totalsRowCount="1" headerRowDxfId="143" dataDxfId="135" headerRowBorderDxfId="145" tableBorderDxfId="146" totalsRowBorderDxfId="144">
  <autoFilter ref="A2:G17" xr:uid="{0BC84725-49FD-4577-890F-299489B3ABDB}"/>
  <tableColumns count="7">
    <tableColumn id="1" xr3:uid="{2E48DEB3-F600-4A6D-AC33-EC85C4B54A2F}" name="Sr." totalsRowLabel="Total" dataDxfId="134" totalsRowDxfId="142"/>
    <tableColumn id="2" xr3:uid="{5BC2BE64-FDF4-4019-953F-9C257976854F}" name="Item No" dataDxfId="133" totalsRowDxfId="141"/>
    <tableColumn id="3" xr3:uid="{A2FE85A5-0C21-4702-B1D6-ACD02D2E84CB}" name="Description" dataDxfId="132" totalsRowDxfId="140"/>
    <tableColumn id="4" xr3:uid="{09621E1A-605A-4D5A-9AC8-9AB859586CC3}" name="Qty" totalsRowFunction="sum" dataDxfId="131" totalsRowDxfId="137"/>
    <tableColumn id="5" xr3:uid="{67666A79-7659-4869-BA83-B025474D2121}" name="Unit" dataDxfId="130" totalsRowDxfId="139"/>
    <tableColumn id="6" xr3:uid="{0FDB0C88-5094-46B1-8FBB-EB463DC2880D}" name="Rate" dataDxfId="129" totalsRowDxfId="138"/>
    <tableColumn id="7" xr3:uid="{4DBED26C-CC67-42BA-B6C4-AF3FCE847576}" name="Amount" totalsRowFunction="sum" dataDxfId="128" totalsRowDxfId="136">
      <calculatedColumnFormula>D3*F3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32"/>
  <sheetViews>
    <sheetView showGridLines="0" tabSelected="1" topLeftCell="A111" zoomScaleNormal="100" workbookViewId="0">
      <selection activeCell="K126" sqref="K126"/>
    </sheetView>
  </sheetViews>
  <sheetFormatPr defaultColWidth="0" defaultRowHeight="14.4" zeroHeight="1" x14ac:dyDescent="0.3"/>
  <cols>
    <col min="1" max="1" width="10.77734375" style="2" customWidth="1"/>
    <col min="2" max="2" width="10.77734375" style="26" customWidth="1"/>
    <col min="3" max="3" width="69.77734375" style="1" customWidth="1"/>
    <col min="4" max="4" width="10.77734375" style="2" customWidth="1"/>
    <col min="5" max="5" width="12" style="1" bestFit="1" customWidth="1"/>
    <col min="6" max="7" width="10.77734375" style="1" customWidth="1"/>
    <col min="8" max="8" width="10.77734375" style="2" customWidth="1"/>
    <col min="9" max="9" width="10.77734375" style="4" customWidth="1"/>
    <col min="10" max="11" width="10.77734375" style="1" customWidth="1"/>
    <col min="12" max="12" width="11.77734375" style="1" customWidth="1"/>
    <col min="13" max="13" width="12.77734375" customWidth="1"/>
    <col min="14" max="14" width="5.77734375" customWidth="1"/>
    <col min="15" max="16384" width="8.88671875" hidden="1"/>
  </cols>
  <sheetData>
    <row r="1" spans="1:12" ht="31.8" thickBot="1" x14ac:dyDescent="0.35">
      <c r="A1" s="69" t="s">
        <v>90</v>
      </c>
      <c r="B1" s="69"/>
      <c r="C1" s="69"/>
      <c r="D1" s="69"/>
      <c r="E1" s="69"/>
      <c r="F1" s="69"/>
      <c r="G1" s="69"/>
      <c r="H1" s="69"/>
      <c r="I1" s="69"/>
      <c r="J1" s="69"/>
      <c r="K1" s="69"/>
      <c r="L1" s="69"/>
    </row>
    <row r="2" spans="1:12" s="116" customFormat="1" ht="31.8" thickTop="1" x14ac:dyDescent="0.3">
      <c r="A2" s="140" t="s">
        <v>78</v>
      </c>
      <c r="B2" s="141" t="s">
        <v>77</v>
      </c>
      <c r="C2" s="142" t="s">
        <v>76</v>
      </c>
      <c r="D2" s="142" t="s">
        <v>32</v>
      </c>
      <c r="E2" s="142" t="s">
        <v>75</v>
      </c>
      <c r="F2" s="142" t="s">
        <v>74</v>
      </c>
      <c r="G2" s="142" t="s">
        <v>73</v>
      </c>
      <c r="H2" s="142" t="s">
        <v>79</v>
      </c>
      <c r="I2" s="142" t="s">
        <v>80</v>
      </c>
      <c r="J2" s="142" t="s">
        <v>81</v>
      </c>
      <c r="K2" s="142" t="s">
        <v>71</v>
      </c>
      <c r="L2" s="143" t="s">
        <v>82</v>
      </c>
    </row>
    <row r="3" spans="1:12" s="116" customFormat="1" ht="93" x14ac:dyDescent="0.3">
      <c r="A3" s="192">
        <f>IFERROR(LOOKUP(2,1/(ISNUMBER($A$2:$A$2)),$A$2:$A$2),0)+1</f>
        <v>1</v>
      </c>
      <c r="B3" s="111" t="s">
        <v>22</v>
      </c>
      <c r="C3" s="144" t="s">
        <v>72</v>
      </c>
      <c r="D3" s="112"/>
      <c r="E3" s="113"/>
      <c r="F3" s="113"/>
      <c r="G3" s="113"/>
      <c r="H3" s="77"/>
      <c r="I3" s="114"/>
      <c r="J3" s="8"/>
      <c r="K3" s="9"/>
      <c r="L3" s="115"/>
    </row>
    <row r="4" spans="1:12" ht="15.6" x14ac:dyDescent="0.3">
      <c r="A4" s="189"/>
      <c r="B4" s="55"/>
      <c r="C4" s="56" t="s">
        <v>23</v>
      </c>
      <c r="D4" s="57">
        <v>2</v>
      </c>
      <c r="E4" s="56">
        <v>71.625</v>
      </c>
      <c r="F4" s="56">
        <v>3</v>
      </c>
      <c r="G4" s="56">
        <v>3</v>
      </c>
      <c r="H4" s="81">
        <f>D4*IF(OR(E4=0,E4="-"),1,E4)*IF(OR(F4=0,F4="-"),1,F4)*IF(OR(G4=0,G4="-"),1,G4)</f>
        <v>1289.25</v>
      </c>
      <c r="I4" s="58" t="s">
        <v>24</v>
      </c>
      <c r="J4" s="59"/>
      <c r="K4" s="60"/>
      <c r="L4" s="19"/>
    </row>
    <row r="5" spans="1:12" ht="15.6" x14ac:dyDescent="0.3">
      <c r="A5" s="189"/>
      <c r="B5" s="55"/>
      <c r="C5" s="56" t="s">
        <v>25</v>
      </c>
      <c r="D5" s="57">
        <v>3</v>
      </c>
      <c r="E5" s="56">
        <v>33.375</v>
      </c>
      <c r="F5" s="56">
        <v>3</v>
      </c>
      <c r="G5" s="56">
        <v>3</v>
      </c>
      <c r="H5" s="81">
        <f>D5*IF(OR(E5=0,E5="-"),1,E5)*IF(OR(F5=0,F5="-"),1,F5)*IF(OR(G5=0,G5="-"),1,G5)</f>
        <v>901.125</v>
      </c>
      <c r="I5" s="58" t="s">
        <v>24</v>
      </c>
      <c r="J5" s="59"/>
      <c r="K5" s="60"/>
      <c r="L5" s="19"/>
    </row>
    <row r="6" spans="1:12" ht="15.6" x14ac:dyDescent="0.3">
      <c r="A6" s="190"/>
      <c r="B6" s="61"/>
      <c r="C6" s="63"/>
      <c r="D6" s="64"/>
      <c r="E6" s="63"/>
      <c r="F6" s="82" t="s">
        <v>26</v>
      </c>
      <c r="G6" s="82"/>
      <c r="H6" s="176">
        <f>SUM(H4:H5)</f>
        <v>2190.375</v>
      </c>
      <c r="I6" s="62" t="s">
        <v>24</v>
      </c>
      <c r="J6" s="186"/>
      <c r="K6" s="171">
        <f>0</f>
        <v>0</v>
      </c>
      <c r="L6" s="20"/>
    </row>
    <row r="7" spans="1:12" ht="28.8" x14ac:dyDescent="0.3">
      <c r="A7" s="191"/>
      <c r="B7" s="66"/>
      <c r="C7" s="67"/>
      <c r="D7" s="65"/>
      <c r="E7" s="83" t="s">
        <v>27</v>
      </c>
      <c r="F7" s="83"/>
      <c r="G7" s="83"/>
      <c r="H7" s="176">
        <f>ROUND(H6*0.028316846592,3)</f>
        <v>62.024999999999999</v>
      </c>
      <c r="I7" s="68" t="s">
        <v>28</v>
      </c>
      <c r="J7" s="186" t="s">
        <v>37</v>
      </c>
      <c r="K7" s="172">
        <f>IF(B3="4.14.1",IF(J7="Labour Rate",20,IF(J7="Machinery Rate",63,IF(J7="Through Rate",83,0))),"")</f>
        <v>83</v>
      </c>
      <c r="L7" s="148">
        <f>IF(H7*K7&lt;&gt;0,H7*K7,0)</f>
        <v>5148.0749999999998</v>
      </c>
    </row>
    <row r="8" spans="1:12" ht="13.95" customHeight="1" x14ac:dyDescent="0.3">
      <c r="A8" s="197"/>
      <c r="B8" s="158"/>
      <c r="C8" s="75"/>
      <c r="D8" s="74"/>
      <c r="E8" s="75"/>
      <c r="F8" s="75"/>
      <c r="G8" s="75"/>
      <c r="H8" s="180"/>
      <c r="I8" s="105"/>
      <c r="J8" s="59"/>
      <c r="K8" s="60"/>
      <c r="L8" s="21"/>
    </row>
    <row r="9" spans="1:12" s="116" customFormat="1" ht="27.6" x14ac:dyDescent="0.3">
      <c r="A9" s="192">
        <f>IFERROR(LOOKUP(2,1/(ISNUMBER($A$2:$A$8)),$A$2:$A$8),0)+1</f>
        <v>2</v>
      </c>
      <c r="B9" s="111" t="s">
        <v>138</v>
      </c>
      <c r="C9" s="144" t="s">
        <v>148</v>
      </c>
      <c r="D9" s="112"/>
      <c r="E9" s="113"/>
      <c r="F9" s="113"/>
      <c r="G9" s="113"/>
      <c r="H9" s="77"/>
      <c r="I9" s="114"/>
      <c r="J9" s="8"/>
      <c r="K9" s="9"/>
      <c r="L9" s="115"/>
    </row>
    <row r="10" spans="1:12" ht="15.6" x14ac:dyDescent="0.3">
      <c r="A10" s="189"/>
      <c r="B10" s="55"/>
      <c r="C10" s="56"/>
      <c r="D10" s="57">
        <v>1</v>
      </c>
      <c r="E10" s="56">
        <v>150</v>
      </c>
      <c r="F10" s="56">
        <v>1</v>
      </c>
      <c r="G10" s="56">
        <v>1</v>
      </c>
      <c r="H10" s="81">
        <f>D10*IF(OR(E10=0,E10="-"),1,E10)*IF(OR(F10=0,F10="-"),1,F10)*IF(OR(G10=0,G10="-"),1,G10)</f>
        <v>150</v>
      </c>
      <c r="I10" s="58" t="s">
        <v>24</v>
      </c>
      <c r="J10" s="59"/>
      <c r="K10" s="60"/>
      <c r="L10" s="19"/>
    </row>
    <row r="11" spans="1:12" ht="15.6" x14ac:dyDescent="0.3">
      <c r="A11" s="190"/>
      <c r="B11" s="61"/>
      <c r="C11" s="63"/>
      <c r="D11" s="64"/>
      <c r="E11" s="63"/>
      <c r="F11" s="82" t="s">
        <v>26</v>
      </c>
      <c r="G11" s="82"/>
      <c r="H11" s="176">
        <f>SUM(H10:H10)</f>
        <v>150</v>
      </c>
      <c r="I11" s="62" t="s">
        <v>24</v>
      </c>
      <c r="J11" s="186"/>
      <c r="K11" s="171">
        <f>0</f>
        <v>0</v>
      </c>
      <c r="L11" s="20"/>
    </row>
    <row r="12" spans="1:12" ht="19.95" customHeight="1" x14ac:dyDescent="0.3">
      <c r="A12" s="191"/>
      <c r="B12" s="66"/>
      <c r="C12" s="67"/>
      <c r="D12" s="65"/>
      <c r="E12" s="83" t="s">
        <v>27</v>
      </c>
      <c r="F12" s="83"/>
      <c r="G12" s="83"/>
      <c r="H12" s="176">
        <f>ROUND(H11*0.028316846592,3)</f>
        <v>4.2480000000000002</v>
      </c>
      <c r="I12" s="68" t="s">
        <v>28</v>
      </c>
      <c r="J12" s="186" t="s">
        <v>71</v>
      </c>
      <c r="K12" s="172">
        <f>IF(B9="2.RM079",IF(J12="Rate",18,0),"")</f>
        <v>18</v>
      </c>
      <c r="L12" s="148">
        <f>IF(H12*K12&lt;&gt;0,H12*K12,0)</f>
        <v>76.463999999999999</v>
      </c>
    </row>
    <row r="13" spans="1:12" ht="13.95" customHeight="1" x14ac:dyDescent="0.3">
      <c r="A13" s="197"/>
      <c r="B13" s="158"/>
      <c r="C13" s="75"/>
      <c r="D13" s="74"/>
      <c r="E13" s="75"/>
      <c r="F13" s="75"/>
      <c r="G13" s="75"/>
      <c r="H13" s="180"/>
      <c r="I13" s="105"/>
      <c r="J13" s="59"/>
      <c r="K13" s="60"/>
      <c r="L13" s="21"/>
    </row>
    <row r="14" spans="1:12" s="116" customFormat="1" ht="51.6" x14ac:dyDescent="0.3">
      <c r="A14" s="192">
        <f>IFERROR(LOOKUP(2,1/(ISNUMBER($A$2:$A$13)),$A$2:$A$13),0)+1</f>
        <v>3</v>
      </c>
      <c r="B14" s="111" t="s">
        <v>39</v>
      </c>
      <c r="C14" s="144" t="s">
        <v>69</v>
      </c>
      <c r="D14" s="112"/>
      <c r="E14" s="113"/>
      <c r="F14" s="113"/>
      <c r="G14" s="113"/>
      <c r="H14" s="77"/>
      <c r="I14" s="114"/>
      <c r="J14" s="8"/>
      <c r="K14" s="9"/>
      <c r="L14" s="115"/>
    </row>
    <row r="15" spans="1:12" ht="15.6" x14ac:dyDescent="0.3">
      <c r="A15" s="189"/>
      <c r="B15" s="55"/>
      <c r="C15" s="151" t="s">
        <v>40</v>
      </c>
      <c r="D15" s="57">
        <v>1</v>
      </c>
      <c r="E15" s="56">
        <v>150</v>
      </c>
      <c r="F15" s="56">
        <v>1</v>
      </c>
      <c r="G15" s="56">
        <v>1</v>
      </c>
      <c r="H15" s="81">
        <f>D15*IF(OR(E15=0,E15="-"),1,E15)*IF(OR(F15=0,F15="-"),1,F15)*IF(OR(G15=0,G15="-"),1,G15)</f>
        <v>150</v>
      </c>
      <c r="I15" s="58" t="s">
        <v>24</v>
      </c>
      <c r="J15" s="59"/>
      <c r="K15" s="60"/>
      <c r="L15" s="19"/>
    </row>
    <row r="16" spans="1:12" ht="15.6" x14ac:dyDescent="0.3">
      <c r="A16" s="190"/>
      <c r="B16" s="61"/>
      <c r="C16" s="63"/>
      <c r="D16" s="64"/>
      <c r="E16" s="63"/>
      <c r="F16" s="82" t="s">
        <v>26</v>
      </c>
      <c r="G16" s="82"/>
      <c r="H16" s="176">
        <f>SUM(H15:H15)</f>
        <v>150</v>
      </c>
      <c r="I16" s="62" t="s">
        <v>24</v>
      </c>
      <c r="J16" s="186"/>
      <c r="K16" s="171">
        <f>0</f>
        <v>0</v>
      </c>
      <c r="L16" s="20"/>
    </row>
    <row r="17" spans="1:14" ht="19.95" customHeight="1" x14ac:dyDescent="0.3">
      <c r="A17" s="191"/>
      <c r="B17" s="66"/>
      <c r="C17" s="67"/>
      <c r="D17" s="65"/>
      <c r="E17" s="83" t="s">
        <v>27</v>
      </c>
      <c r="F17" s="83"/>
      <c r="G17" s="83"/>
      <c r="H17" s="176">
        <f>ROUND(H16*0.028316846592,3)</f>
        <v>4.2480000000000002</v>
      </c>
      <c r="I17" s="68" t="s">
        <v>28</v>
      </c>
      <c r="J17" s="186" t="s">
        <v>70</v>
      </c>
      <c r="K17" s="172">
        <f>IF(B14="3.1.2",IF(J17="1km",53,IF(J17="2km",60,IF(J17="3km",68,IF(J17="4km",75,IF(J17="5km",83,IF(J17="Beyond 5km up to 10km per KM",6,IF(J17="Beyond 10km up to 20km per KM",5,IF(J17="Beyond 20km per adl. KM",4,0)))))))),"")</f>
        <v>83</v>
      </c>
      <c r="L17" s="148">
        <f>IF(H17*K17&lt;&gt;0,H17*K17,0)</f>
        <v>352.584</v>
      </c>
    </row>
    <row r="18" spans="1:14" ht="13.95" customHeight="1" x14ac:dyDescent="0.3">
      <c r="A18" s="197"/>
      <c r="B18" s="158"/>
      <c r="C18" s="75"/>
      <c r="D18" s="74"/>
      <c r="E18" s="75"/>
      <c r="F18" s="75"/>
      <c r="G18" s="75"/>
      <c r="H18" s="180"/>
      <c r="I18" s="105"/>
      <c r="J18" s="59"/>
      <c r="K18" s="60"/>
      <c r="L18" s="21"/>
    </row>
    <row r="19" spans="1:14" s="116" customFormat="1" ht="51.6" x14ac:dyDescent="0.3">
      <c r="A19" s="192">
        <f>IFERROR(LOOKUP(2,1/(ISNUMBER($A$2:$A$18)),$A$2:$A$18),0)+1</f>
        <v>4</v>
      </c>
      <c r="B19" s="111" t="s">
        <v>39</v>
      </c>
      <c r="C19" s="144" t="s">
        <v>69</v>
      </c>
      <c r="D19" s="112"/>
      <c r="E19" s="113"/>
      <c r="F19" s="113"/>
      <c r="G19" s="113"/>
      <c r="H19" s="77"/>
      <c r="I19" s="114"/>
      <c r="J19" s="8"/>
      <c r="K19" s="9"/>
      <c r="L19" s="115"/>
    </row>
    <row r="20" spans="1:14" ht="15.6" x14ac:dyDescent="0.3">
      <c r="A20" s="189"/>
      <c r="B20" s="55"/>
      <c r="C20" s="151" t="s">
        <v>41</v>
      </c>
      <c r="D20" s="57">
        <v>3</v>
      </c>
      <c r="E20" s="56">
        <v>150</v>
      </c>
      <c r="F20" s="56">
        <v>1</v>
      </c>
      <c r="G20" s="56">
        <v>1</v>
      </c>
      <c r="H20" s="81">
        <f>D20*IF(OR(E20=0,E20="-"),1,E20)*IF(OR(F20=0,F20="-"),1,F20)*IF(OR(G20=0,G20="-"),1,G20)</f>
        <v>450</v>
      </c>
      <c r="I20" s="58" t="s">
        <v>24</v>
      </c>
      <c r="J20" s="59"/>
      <c r="K20" s="60"/>
      <c r="L20" s="19"/>
    </row>
    <row r="21" spans="1:14" ht="15.6" x14ac:dyDescent="0.3">
      <c r="A21" s="190"/>
      <c r="B21" s="61"/>
      <c r="C21" s="63"/>
      <c r="D21" s="64"/>
      <c r="E21" s="63"/>
      <c r="F21" s="82" t="s">
        <v>26</v>
      </c>
      <c r="G21" s="82"/>
      <c r="H21" s="176">
        <f>SUM(H20:H20)</f>
        <v>450</v>
      </c>
      <c r="I21" s="62" t="s">
        <v>24</v>
      </c>
      <c r="J21" s="186"/>
      <c r="K21" s="171">
        <f>0</f>
        <v>0</v>
      </c>
      <c r="L21" s="20"/>
    </row>
    <row r="22" spans="1:14" ht="57.6" x14ac:dyDescent="0.3">
      <c r="A22" s="191"/>
      <c r="B22" s="66"/>
      <c r="C22" s="67"/>
      <c r="D22" s="65"/>
      <c r="E22" s="83" t="s">
        <v>27</v>
      </c>
      <c r="F22" s="83"/>
      <c r="G22" s="83"/>
      <c r="H22" s="176">
        <f>ROUND(H21*0.028316846592,3)</f>
        <v>12.743</v>
      </c>
      <c r="I22" s="68" t="s">
        <v>28</v>
      </c>
      <c r="J22" s="186" t="s">
        <v>68</v>
      </c>
      <c r="K22" s="172">
        <f>IF(B19="3.1.2",IF(J22="1km",53,IF(J22="2km",60,IF(J22="3km",68,IF(J22="4km",75,IF(J22="5km",83,IF(J22="Beyond 5km up to 10km per KM",6,IF(J22="Beyond 10km up to 20km per KM",5,IF(J22="Beyond 20km per adl. KM",4,0)))))))),"")</f>
        <v>6</v>
      </c>
      <c r="L22" s="148">
        <f>IF(H22*K22&lt;&gt;0,H22*K22,0)</f>
        <v>76.457999999999998</v>
      </c>
    </row>
    <row r="23" spans="1:14" ht="13.95" customHeight="1" x14ac:dyDescent="0.3">
      <c r="A23" s="197"/>
      <c r="B23" s="158"/>
      <c r="C23" s="75"/>
      <c r="D23" s="74"/>
      <c r="E23" s="75"/>
      <c r="F23" s="75"/>
      <c r="G23" s="75"/>
      <c r="H23" s="180"/>
      <c r="I23" s="105"/>
      <c r="J23" s="59"/>
      <c r="K23" s="60"/>
      <c r="L23" s="21"/>
    </row>
    <row r="24" spans="1:14" s="139" customFormat="1" ht="27.6" x14ac:dyDescent="0.3">
      <c r="A24" s="193">
        <f>IFERROR(LOOKUP(2,1/(ISNUMBER($A$2:$A$23)),$A$2:$A$23),0)+1</f>
        <v>5</v>
      </c>
      <c r="B24" s="120" t="s">
        <v>139</v>
      </c>
      <c r="C24" s="145" t="s">
        <v>136</v>
      </c>
      <c r="D24" s="128"/>
      <c r="E24" s="136"/>
      <c r="F24" s="136"/>
      <c r="G24" s="136"/>
      <c r="H24" s="78"/>
      <c r="I24" s="124"/>
      <c r="J24" s="53"/>
      <c r="K24" s="54"/>
      <c r="L24" s="137"/>
      <c r="M24" s="138"/>
    </row>
    <row r="25" spans="1:14" s="46" customFormat="1" ht="15.6" customHeight="1" x14ac:dyDescent="0.3">
      <c r="A25" s="194"/>
      <c r="B25" s="152"/>
      <c r="C25" s="153" t="s">
        <v>135</v>
      </c>
      <c r="D25" s="72">
        <v>12</v>
      </c>
      <c r="E25" s="76">
        <v>1.5</v>
      </c>
      <c r="F25" s="76"/>
      <c r="G25" s="76"/>
      <c r="H25" s="177">
        <f>D25*IF(OR(E25=0,E25="-"),1,E25)*IF(OR(F25=0,F25="-"),1,F25)*IF(OR(G25=0,G25="-"),1,G25)</f>
        <v>18</v>
      </c>
      <c r="I25" s="85" t="s">
        <v>46</v>
      </c>
      <c r="J25" s="154"/>
      <c r="K25" s="155"/>
      <c r="L25" s="48"/>
      <c r="M25" s="45"/>
    </row>
    <row r="26" spans="1:14" s="46" customFormat="1" ht="15.6" customHeight="1" x14ac:dyDescent="0.3">
      <c r="A26" s="194"/>
      <c r="B26" s="152"/>
      <c r="C26" s="153" t="s">
        <v>25</v>
      </c>
      <c r="D26" s="72">
        <v>1</v>
      </c>
      <c r="E26" s="76">
        <v>236</v>
      </c>
      <c r="F26" s="76"/>
      <c r="G26" s="76"/>
      <c r="H26" s="177">
        <f>D26*IF(OR(E26=0,E26="-"),1,E26)*IF(OR(F26=0,F26="-"),1,F26)*IF(OR(G26=0,G26="-"),1,G26)</f>
        <v>236</v>
      </c>
      <c r="I26" s="85" t="s">
        <v>46</v>
      </c>
      <c r="J26" s="154"/>
      <c r="K26" s="155"/>
      <c r="L26" s="48"/>
      <c r="M26" s="45"/>
    </row>
    <row r="27" spans="1:14" s="46" customFormat="1" ht="15.6" customHeight="1" x14ac:dyDescent="0.3">
      <c r="A27" s="194"/>
      <c r="B27" s="152"/>
      <c r="C27" s="153"/>
      <c r="D27" s="72">
        <v>1</v>
      </c>
      <c r="E27" s="76">
        <v>38.125</v>
      </c>
      <c r="F27" s="76"/>
      <c r="G27" s="76"/>
      <c r="H27" s="177">
        <f>D27*IF(OR(E27=0,E27="-"),1,E27)*IF(OR(F27=0,F27="-"),1,F27)*IF(OR(G27=0,G27="-"),1,G27)</f>
        <v>38.125</v>
      </c>
      <c r="I27" s="85" t="s">
        <v>46</v>
      </c>
      <c r="J27" s="154"/>
      <c r="K27" s="155"/>
      <c r="L27" s="48"/>
      <c r="M27" s="45"/>
    </row>
    <row r="28" spans="1:14" s="46" customFormat="1" ht="15.6" customHeight="1" x14ac:dyDescent="0.3">
      <c r="A28" s="194"/>
      <c r="B28" s="152"/>
      <c r="C28" s="153"/>
      <c r="D28" s="72">
        <v>1</v>
      </c>
      <c r="E28" s="76">
        <v>39.125</v>
      </c>
      <c r="F28" s="76"/>
      <c r="G28" s="76"/>
      <c r="H28" s="177">
        <f>D28*IF(OR(E28=0,E28="-"),1,E28)*IF(OR(F28=0,F28="-"),1,F28)*IF(OR(G28=0,G28="-"),1,G28)</f>
        <v>39.125</v>
      </c>
      <c r="I28" s="85" t="s">
        <v>46</v>
      </c>
      <c r="J28" s="154"/>
      <c r="K28" s="155"/>
      <c r="L28" s="48"/>
      <c r="M28" s="45"/>
    </row>
    <row r="29" spans="1:14" s="46" customFormat="1" ht="15.6" customHeight="1" x14ac:dyDescent="0.3">
      <c r="A29" s="195"/>
      <c r="B29" s="156"/>
      <c r="C29" s="157"/>
      <c r="D29" s="92"/>
      <c r="E29" s="106"/>
      <c r="F29" s="107" t="s">
        <v>47</v>
      </c>
      <c r="G29" s="107"/>
      <c r="H29" s="178">
        <f>SUM(H25:H28)</f>
        <v>331.25</v>
      </c>
      <c r="I29" s="88" t="s">
        <v>46</v>
      </c>
      <c r="J29" s="168"/>
      <c r="K29" s="173"/>
      <c r="L29" s="49"/>
      <c r="M29" s="45"/>
    </row>
    <row r="30" spans="1:14" s="46" customFormat="1" ht="15.6" customHeight="1" x14ac:dyDescent="0.3">
      <c r="A30" s="196"/>
      <c r="B30" s="132"/>
      <c r="C30" s="133"/>
      <c r="D30" s="89"/>
      <c r="E30" s="108" t="s">
        <v>47</v>
      </c>
      <c r="F30" s="108"/>
      <c r="G30" s="108"/>
      <c r="H30" s="178">
        <f>ROUND(H29*1,3)</f>
        <v>331.25</v>
      </c>
      <c r="I30" s="109" t="s">
        <v>46</v>
      </c>
      <c r="J30" s="168"/>
      <c r="K30" s="174"/>
      <c r="L30" s="50"/>
      <c r="M30" s="47"/>
      <c r="N30" s="44"/>
    </row>
    <row r="31" spans="1:14" s="46" customFormat="1" ht="19.95" customHeight="1" x14ac:dyDescent="0.3">
      <c r="A31" s="196"/>
      <c r="B31" s="132"/>
      <c r="C31" s="133"/>
      <c r="D31" s="89"/>
      <c r="E31" s="134" t="s">
        <v>137</v>
      </c>
      <c r="F31" s="134"/>
      <c r="G31" s="134"/>
      <c r="H31" s="179">
        <f>H30/100</f>
        <v>3.3125</v>
      </c>
      <c r="I31" s="135"/>
      <c r="J31" s="168" t="s">
        <v>93</v>
      </c>
      <c r="K31" s="174">
        <v>0</v>
      </c>
      <c r="L31" s="51"/>
      <c r="M31" s="45"/>
    </row>
    <row r="32" spans="1:14" s="46" customFormat="1" ht="13.95" customHeight="1" x14ac:dyDescent="0.3">
      <c r="A32" s="214"/>
      <c r="B32" s="202"/>
      <c r="C32" s="203"/>
      <c r="D32" s="204"/>
      <c r="E32" s="205"/>
      <c r="F32" s="205"/>
      <c r="G32" s="205"/>
      <c r="H32" s="201"/>
      <c r="I32" s="206"/>
      <c r="J32" s="154"/>
      <c r="K32" s="155"/>
      <c r="L32" s="52"/>
      <c r="M32" s="45"/>
    </row>
    <row r="33" spans="1:12" s="116" customFormat="1" ht="148.19999999999999" x14ac:dyDescent="0.3">
      <c r="A33" s="192">
        <f>IFERROR(LOOKUP(2,1/(ISNUMBER($A$2:$A$32)),$A$2:$A$32),0)+1</f>
        <v>6</v>
      </c>
      <c r="B33" s="111" t="s">
        <v>131</v>
      </c>
      <c r="C33" s="144" t="s">
        <v>134</v>
      </c>
      <c r="D33" s="112"/>
      <c r="E33" s="113"/>
      <c r="F33" s="113"/>
      <c r="G33" s="113"/>
      <c r="H33" s="77"/>
      <c r="I33" s="114"/>
      <c r="J33" s="8"/>
      <c r="K33" s="9"/>
      <c r="L33" s="115"/>
    </row>
    <row r="34" spans="1:12" ht="13.95" customHeight="1" x14ac:dyDescent="0.3">
      <c r="A34" s="197"/>
      <c r="B34" s="158"/>
      <c r="C34" s="75" t="s">
        <v>132</v>
      </c>
      <c r="D34" s="74">
        <v>1</v>
      </c>
      <c r="E34" s="75">
        <v>40</v>
      </c>
      <c r="F34" s="75"/>
      <c r="G34" s="75"/>
      <c r="H34" s="81">
        <f>D34*IF(OR(E34=0,E34="-"),1,E34)*IF(OR(F34=0,F34="-"),1,F34)*IF(OR(G34=0,G34="-"),1,G34)</f>
        <v>40</v>
      </c>
      <c r="I34" s="105" t="s">
        <v>62</v>
      </c>
      <c r="J34" s="59"/>
      <c r="K34" s="60"/>
      <c r="L34" s="21"/>
    </row>
    <row r="35" spans="1:12" ht="13.95" customHeight="1" x14ac:dyDescent="0.3">
      <c r="A35" s="190"/>
      <c r="B35" s="61"/>
      <c r="C35" s="63"/>
      <c r="D35" s="64"/>
      <c r="E35" s="63"/>
      <c r="F35" s="82" t="s">
        <v>133</v>
      </c>
      <c r="G35" s="82"/>
      <c r="H35" s="176">
        <f>SUM(H34:H34)</f>
        <v>40</v>
      </c>
      <c r="I35" s="62" t="s">
        <v>62</v>
      </c>
      <c r="J35" s="186"/>
      <c r="K35" s="171">
        <f>0</f>
        <v>0</v>
      </c>
      <c r="L35" s="20"/>
    </row>
    <row r="36" spans="1:12" ht="28.8" x14ac:dyDescent="0.3">
      <c r="A36" s="191"/>
      <c r="B36" s="66"/>
      <c r="C36" s="67"/>
      <c r="D36" s="65"/>
      <c r="E36" s="83" t="s">
        <v>133</v>
      </c>
      <c r="F36" s="83"/>
      <c r="G36" s="83"/>
      <c r="H36" s="176">
        <f>ROUND(H35*1,3)</f>
        <v>40</v>
      </c>
      <c r="I36" s="68" t="s">
        <v>62</v>
      </c>
      <c r="J36" s="186" t="s">
        <v>143</v>
      </c>
      <c r="K36" s="172">
        <f>IF(B33="6.34.6",IF(J36="Labour Rate",2,IF(J36="Material Rate",59,IF(J36="Through Rate",61,IF(J36="Labour Rate Amnd",6,IF(J36="Material Rate Amnd",62,IF(J36="Through Rate Amnd",68,0)))))),"")</f>
        <v>6</v>
      </c>
      <c r="L36" s="148">
        <f>IF(H36*K36&lt;&gt;0,H36*K36,0)</f>
        <v>240</v>
      </c>
    </row>
    <row r="37" spans="1:12" ht="13.95" customHeight="1" x14ac:dyDescent="0.3">
      <c r="A37" s="197"/>
      <c r="B37" s="158"/>
      <c r="C37" s="75"/>
      <c r="D37" s="74"/>
      <c r="E37" s="75"/>
      <c r="F37" s="75"/>
      <c r="G37" s="75"/>
      <c r="H37" s="180"/>
      <c r="I37" s="105"/>
      <c r="J37" s="59"/>
      <c r="K37" s="60"/>
      <c r="L37" s="21"/>
    </row>
    <row r="38" spans="1:12" s="116" customFormat="1" ht="162" x14ac:dyDescent="0.3">
      <c r="A38" s="192">
        <f>IFERROR(LOOKUP(2,1/(ISNUMBER($A$2:$A$37)),$A$2:$A$37),0)+1</f>
        <v>7</v>
      </c>
      <c r="B38" s="111" t="s">
        <v>0</v>
      </c>
      <c r="C38" s="144" t="s">
        <v>67</v>
      </c>
      <c r="D38" s="112"/>
      <c r="E38" s="113"/>
      <c r="F38" s="113"/>
      <c r="G38" s="113"/>
      <c r="H38" s="77"/>
      <c r="I38" s="114"/>
      <c r="J38" s="8"/>
      <c r="K38" s="9"/>
      <c r="L38" s="115"/>
    </row>
    <row r="39" spans="1:12" ht="15.6" x14ac:dyDescent="0.3">
      <c r="A39" s="189"/>
      <c r="B39" s="55"/>
      <c r="C39" s="56" t="s">
        <v>1</v>
      </c>
      <c r="D39" s="57"/>
      <c r="E39" s="56"/>
      <c r="F39" s="56"/>
      <c r="G39" s="56"/>
      <c r="H39" s="180"/>
      <c r="I39" s="58"/>
      <c r="J39" s="59"/>
      <c r="K39" s="60"/>
      <c r="L39" s="19"/>
    </row>
    <row r="40" spans="1:12" ht="15.6" x14ac:dyDescent="0.3">
      <c r="A40" s="189"/>
      <c r="B40" s="55"/>
      <c r="C40" s="151" t="s">
        <v>2</v>
      </c>
      <c r="D40" s="57"/>
      <c r="E40" s="56"/>
      <c r="F40" s="56"/>
      <c r="G40" s="56"/>
      <c r="H40" s="180"/>
      <c r="I40" s="58"/>
      <c r="J40" s="59"/>
      <c r="K40" s="60"/>
      <c r="L40" s="19"/>
    </row>
    <row r="41" spans="1:12" ht="15.6" x14ac:dyDescent="0.3">
      <c r="A41" s="189"/>
      <c r="B41" s="55"/>
      <c r="C41" s="56"/>
      <c r="D41" s="57">
        <v>10</v>
      </c>
      <c r="E41" s="56">
        <v>4</v>
      </c>
      <c r="F41" s="56">
        <v>6</v>
      </c>
      <c r="G41" s="56"/>
      <c r="H41" s="81">
        <f>D41*IF(OR(E41=0,E41="-"),1,E41)*IF(OR(F41=0,F41="-"),1,F41)*IF(OR(G41=0,G41="-"),1,G41)</f>
        <v>240</v>
      </c>
      <c r="I41" s="58" t="s">
        <v>3</v>
      </c>
      <c r="J41" s="59"/>
      <c r="K41" s="60"/>
      <c r="L41" s="19"/>
    </row>
    <row r="42" spans="1:12" ht="15.6" x14ac:dyDescent="0.3">
      <c r="A42" s="190"/>
      <c r="B42" s="61"/>
      <c r="C42" s="63"/>
      <c r="D42" s="64"/>
      <c r="E42" s="63"/>
      <c r="F42" s="82" t="s">
        <v>4</v>
      </c>
      <c r="G42" s="82"/>
      <c r="H42" s="176">
        <f>SUM(H41:H41)</f>
        <v>240</v>
      </c>
      <c r="I42" s="62" t="s">
        <v>3</v>
      </c>
      <c r="J42" s="186"/>
      <c r="K42" s="175"/>
      <c r="L42" s="20"/>
    </row>
    <row r="43" spans="1:12" ht="15.6" x14ac:dyDescent="0.3">
      <c r="A43" s="191"/>
      <c r="B43" s="66"/>
      <c r="C43" s="67"/>
      <c r="D43" s="65"/>
      <c r="E43" s="83" t="s">
        <v>47</v>
      </c>
      <c r="F43" s="83"/>
      <c r="G43" s="83"/>
      <c r="H43" s="176">
        <f>ROUND(H42*0.3048,3)</f>
        <v>73.152000000000001</v>
      </c>
      <c r="I43" s="84" t="s">
        <v>46</v>
      </c>
      <c r="J43" s="186"/>
      <c r="K43" s="175"/>
      <c r="L43" s="22"/>
    </row>
    <row r="44" spans="1:12" ht="31.05" customHeight="1" x14ac:dyDescent="0.3">
      <c r="A44" s="198"/>
      <c r="B44" s="98"/>
      <c r="C44" s="99"/>
      <c r="D44" s="100"/>
      <c r="E44" s="104" t="s">
        <v>54</v>
      </c>
      <c r="F44" s="104"/>
      <c r="G44" s="104"/>
      <c r="H44" s="176">
        <f>(H43*12^2)/162</f>
        <v>65.024000000000001</v>
      </c>
      <c r="I44" s="101" t="s">
        <v>5</v>
      </c>
      <c r="J44" s="187" t="s">
        <v>6</v>
      </c>
      <c r="K44" s="175"/>
      <c r="L44" s="6"/>
    </row>
    <row r="45" spans="1:12" ht="13.95" customHeight="1" x14ac:dyDescent="0.3">
      <c r="A45" s="197"/>
      <c r="B45" s="158"/>
      <c r="C45" s="75"/>
      <c r="D45" s="74"/>
      <c r="E45" s="75"/>
      <c r="F45" s="75"/>
      <c r="G45" s="75"/>
      <c r="H45" s="180"/>
      <c r="I45" s="105"/>
      <c r="J45" s="59"/>
      <c r="K45" s="60"/>
      <c r="L45" s="21"/>
    </row>
    <row r="46" spans="1:12" ht="15.6" x14ac:dyDescent="0.3">
      <c r="A46" s="189"/>
      <c r="B46" s="55"/>
      <c r="C46" s="151" t="s">
        <v>7</v>
      </c>
      <c r="D46" s="57"/>
      <c r="E46" s="56"/>
      <c r="F46" s="56"/>
      <c r="G46" s="56"/>
      <c r="H46" s="180"/>
      <c r="I46" s="58"/>
      <c r="J46" s="59"/>
      <c r="K46" s="60"/>
      <c r="L46" s="19"/>
    </row>
    <row r="47" spans="1:12" ht="15.6" x14ac:dyDescent="0.3">
      <c r="A47" s="189"/>
      <c r="B47" s="55"/>
      <c r="C47" s="56" t="s">
        <v>8</v>
      </c>
      <c r="D47" s="57">
        <v>120</v>
      </c>
      <c r="E47" s="56">
        <v>5.416666666666667</v>
      </c>
      <c r="F47" s="56"/>
      <c r="G47" s="56"/>
      <c r="H47" s="81">
        <f>D47*IF(OR(E47=0,E47="-"),1,E47)*IF(OR(F47=0,F47="-"),1,F47)*IF(OR(G47=0,G47="-"),1,G47)</f>
        <v>650</v>
      </c>
      <c r="I47" s="58" t="s">
        <v>3</v>
      </c>
      <c r="J47" s="59"/>
      <c r="K47" s="60"/>
      <c r="L47" s="19"/>
    </row>
    <row r="48" spans="1:12" ht="15.6" x14ac:dyDescent="0.3">
      <c r="A48" s="190"/>
      <c r="B48" s="61"/>
      <c r="C48" s="63"/>
      <c r="D48" s="64"/>
      <c r="E48" s="63"/>
      <c r="F48" s="82" t="s">
        <v>4</v>
      </c>
      <c r="G48" s="82"/>
      <c r="H48" s="176">
        <f>SUM(H47:H47)</f>
        <v>650</v>
      </c>
      <c r="I48" s="62" t="s">
        <v>3</v>
      </c>
      <c r="J48" s="186"/>
      <c r="K48" s="175"/>
      <c r="L48" s="20"/>
    </row>
    <row r="49" spans="1:12" ht="15.6" x14ac:dyDescent="0.3">
      <c r="A49" s="191"/>
      <c r="B49" s="66"/>
      <c r="C49" s="67"/>
      <c r="D49" s="65"/>
      <c r="E49" s="83" t="s">
        <v>47</v>
      </c>
      <c r="F49" s="83"/>
      <c r="G49" s="83"/>
      <c r="H49" s="176">
        <f>ROUND(H48*0.3048,3)</f>
        <v>198.12</v>
      </c>
      <c r="I49" s="84" t="s">
        <v>46</v>
      </c>
      <c r="J49" s="186"/>
      <c r="K49" s="175"/>
      <c r="L49" s="22"/>
    </row>
    <row r="50" spans="1:12" ht="31.05" customHeight="1" x14ac:dyDescent="0.3">
      <c r="A50" s="198"/>
      <c r="B50" s="98"/>
      <c r="C50" s="99"/>
      <c r="D50" s="100"/>
      <c r="E50" s="104" t="s">
        <v>53</v>
      </c>
      <c r="F50" s="104"/>
      <c r="G50" s="104"/>
      <c r="H50" s="176">
        <f>(H49*8^2)/162</f>
        <v>78.269629629629634</v>
      </c>
      <c r="I50" s="101" t="s">
        <v>5</v>
      </c>
      <c r="J50" s="187" t="s">
        <v>9</v>
      </c>
      <c r="K50" s="175"/>
      <c r="L50" s="6"/>
    </row>
    <row r="51" spans="1:12" ht="13.95" customHeight="1" x14ac:dyDescent="0.3">
      <c r="A51" s="197"/>
      <c r="B51" s="158"/>
      <c r="C51" s="75"/>
      <c r="D51" s="74"/>
      <c r="E51" s="75"/>
      <c r="F51" s="75"/>
      <c r="G51" s="75"/>
      <c r="H51" s="180"/>
      <c r="I51" s="105"/>
      <c r="J51" s="59"/>
      <c r="K51" s="171">
        <f>0</f>
        <v>0</v>
      </c>
      <c r="L51" s="21"/>
    </row>
    <row r="52" spans="1:12" ht="28.8" x14ac:dyDescent="0.3">
      <c r="A52" s="191"/>
      <c r="B52" s="66"/>
      <c r="C52" s="67"/>
      <c r="D52" s="65"/>
      <c r="E52" s="207" t="s">
        <v>10</v>
      </c>
      <c r="F52" s="207"/>
      <c r="G52" s="207"/>
      <c r="H52" s="208">
        <f>ROUND(SUM(H44,H50),3)</f>
        <v>143.29400000000001</v>
      </c>
      <c r="I52" s="68" t="s">
        <v>62</v>
      </c>
      <c r="J52" s="186" t="s">
        <v>143</v>
      </c>
      <c r="K52" s="172">
        <f>IF(B38="6.33.6",IF(J52="Labour Rate",2,IF(J52="Material Rate",59,IF(J52="Through Rate",61,IF(J52="Labour Rate Amnd",7,IF(J52="Material Rate Amnd",59,IF(J52="Through Rate Amnd",66,0)))))),"")</f>
        <v>7</v>
      </c>
      <c r="L52" s="148">
        <f>IF(H52*K52&lt;&gt;0,H52*K52,0)</f>
        <v>1003.0580000000001</v>
      </c>
    </row>
    <row r="53" spans="1:12" ht="13.95" customHeight="1" x14ac:dyDescent="0.3">
      <c r="A53" s="197"/>
      <c r="B53" s="158"/>
      <c r="C53" s="75"/>
      <c r="D53" s="74"/>
      <c r="E53" s="75"/>
      <c r="F53" s="75"/>
      <c r="G53" s="75"/>
      <c r="H53" s="180"/>
      <c r="I53" s="105"/>
      <c r="J53" s="59"/>
      <c r="K53" s="60"/>
      <c r="L53" s="21"/>
    </row>
    <row r="54" spans="1:12" s="116" customFormat="1" ht="41.4" x14ac:dyDescent="0.3">
      <c r="A54" s="192">
        <f>IFERROR(LOOKUP(2,1/(ISNUMBER($A$2:$A$53)),$A$2:$A$53),0)+1</f>
        <v>8</v>
      </c>
      <c r="B54" s="111" t="s">
        <v>65</v>
      </c>
      <c r="C54" s="144" t="s">
        <v>66</v>
      </c>
      <c r="D54" s="112"/>
      <c r="E54" s="113"/>
      <c r="F54" s="113"/>
      <c r="G54" s="113"/>
      <c r="H54" s="77"/>
      <c r="I54" s="114"/>
      <c r="J54" s="8"/>
      <c r="K54" s="9"/>
      <c r="L54" s="115"/>
    </row>
    <row r="55" spans="1:12" ht="15.6" x14ac:dyDescent="0.3">
      <c r="A55" s="189"/>
      <c r="B55" s="55"/>
      <c r="C55" s="159" t="s">
        <v>11</v>
      </c>
      <c r="D55" s="72"/>
      <c r="E55" s="72"/>
      <c r="F55" s="73"/>
      <c r="G55" s="72"/>
      <c r="H55" s="181"/>
      <c r="I55" s="95"/>
      <c r="J55" s="59"/>
      <c r="K55" s="60"/>
      <c r="L55" s="19"/>
    </row>
    <row r="56" spans="1:12" ht="16.2" x14ac:dyDescent="0.3">
      <c r="A56" s="189"/>
      <c r="B56" s="55"/>
      <c r="C56" s="160" t="s">
        <v>51</v>
      </c>
      <c r="D56" s="72">
        <v>10</v>
      </c>
      <c r="E56" s="72">
        <v>1</v>
      </c>
      <c r="F56" s="73">
        <v>1</v>
      </c>
      <c r="G56" s="72"/>
      <c r="H56" s="182">
        <f>D56*IF(OR(E56=0,E56="-"),1,E56)*IF(OR(F56=0,F56="-"),1,F56)*IF(OR(G56=0,G56="-"),1,G56)</f>
        <v>10</v>
      </c>
      <c r="I56" s="95" t="s">
        <v>12</v>
      </c>
      <c r="J56" s="59"/>
      <c r="K56" s="60"/>
      <c r="L56" s="19"/>
    </row>
    <row r="57" spans="1:12" ht="15.6" x14ac:dyDescent="0.3">
      <c r="A57" s="189"/>
      <c r="B57" s="55"/>
      <c r="C57" s="161"/>
      <c r="D57" s="72">
        <v>10</v>
      </c>
      <c r="E57" s="72">
        <v>0.83299999999999996</v>
      </c>
      <c r="F57" s="73">
        <v>0.83299999999999996</v>
      </c>
      <c r="G57" s="72"/>
      <c r="H57" s="182">
        <f>D57*IF(OR(E57=0,E57="-"),1,E57)*IF(OR(F57=0,F57="-"),1,F57)*IF(OR(G57=0,G57="-"),1,G57)</f>
        <v>6.9388899999999998</v>
      </c>
      <c r="I57" s="95" t="s">
        <v>12</v>
      </c>
      <c r="J57" s="59"/>
      <c r="K57" s="60"/>
      <c r="L57" s="19"/>
    </row>
    <row r="58" spans="1:12" ht="15.6" x14ac:dyDescent="0.3">
      <c r="A58" s="190"/>
      <c r="B58" s="61"/>
      <c r="C58" s="162"/>
      <c r="D58" s="92"/>
      <c r="E58" s="92"/>
      <c r="F58" s="93" t="s">
        <v>13</v>
      </c>
      <c r="G58" s="93"/>
      <c r="H58" s="183">
        <f>SUM(H56:H57)</f>
        <v>16.938890000000001</v>
      </c>
      <c r="I58" s="94" t="s">
        <v>12</v>
      </c>
      <c r="J58" s="186"/>
      <c r="K58" s="175"/>
      <c r="L58" s="20"/>
    </row>
    <row r="59" spans="1:12" ht="15.6" x14ac:dyDescent="0.3">
      <c r="A59" s="191"/>
      <c r="B59" s="66"/>
      <c r="C59" s="163"/>
      <c r="D59" s="89"/>
      <c r="E59" s="90" t="s">
        <v>14</v>
      </c>
      <c r="F59" s="90"/>
      <c r="G59" s="90"/>
      <c r="H59" s="184">
        <f>ROUND(H58*0.09290304,3)</f>
        <v>1.5740000000000001</v>
      </c>
      <c r="I59" s="103" t="s">
        <v>15</v>
      </c>
      <c r="J59" s="186"/>
      <c r="K59" s="175"/>
      <c r="L59" s="22"/>
    </row>
    <row r="60" spans="1:12" ht="31.05" customHeight="1" x14ac:dyDescent="0.3">
      <c r="A60" s="198"/>
      <c r="B60" s="98"/>
      <c r="C60" s="99"/>
      <c r="D60" s="100"/>
      <c r="E60" s="102" t="s">
        <v>52</v>
      </c>
      <c r="F60" s="102"/>
      <c r="G60" s="102"/>
      <c r="H60" s="176">
        <f>H59*32.4</f>
        <v>50.997599999999998</v>
      </c>
      <c r="I60" s="101" t="s">
        <v>5</v>
      </c>
      <c r="J60" s="187" t="s">
        <v>6</v>
      </c>
      <c r="K60" s="175"/>
      <c r="L60" s="6"/>
    </row>
    <row r="61" spans="1:12" ht="13.95" customHeight="1" x14ac:dyDescent="0.3">
      <c r="A61" s="197"/>
      <c r="B61" s="158"/>
      <c r="C61" s="75"/>
      <c r="D61" s="74"/>
      <c r="E61" s="75"/>
      <c r="F61" s="75"/>
      <c r="G61" s="75"/>
      <c r="H61" s="180"/>
      <c r="I61" s="105"/>
      <c r="J61" s="59"/>
      <c r="K61" s="171">
        <f>0</f>
        <v>0</v>
      </c>
      <c r="L61" s="21"/>
    </row>
    <row r="62" spans="1:12" ht="28.8" x14ac:dyDescent="0.3">
      <c r="A62" s="191"/>
      <c r="B62" s="66"/>
      <c r="C62" s="67"/>
      <c r="D62" s="65"/>
      <c r="E62" s="207" t="s">
        <v>64</v>
      </c>
      <c r="F62" s="207"/>
      <c r="G62" s="207"/>
      <c r="H62" s="208">
        <f>ROUND(SUM(H60),3)</f>
        <v>50.997999999999998</v>
      </c>
      <c r="I62" s="68" t="s">
        <v>62</v>
      </c>
      <c r="J62" s="186" t="s">
        <v>146</v>
      </c>
      <c r="K62" s="172">
        <f>IF(B54="13.31",IF(J62="Labour Rate",7,IF(J62="Material Rate",59,IF(J62="Through Rate",66,0))),"")</f>
        <v>7</v>
      </c>
      <c r="L62" s="148">
        <f>IF(H62*K62&lt;&gt;0,H62*K62,0)</f>
        <v>356.98599999999999</v>
      </c>
    </row>
    <row r="63" spans="1:12" ht="13.95" customHeight="1" x14ac:dyDescent="0.3">
      <c r="A63" s="197"/>
      <c r="B63" s="158"/>
      <c r="C63" s="75"/>
      <c r="D63" s="74"/>
      <c r="E63" s="75"/>
      <c r="F63" s="75"/>
      <c r="G63" s="75"/>
      <c r="H63" s="180"/>
      <c r="I63" s="105"/>
      <c r="J63" s="59"/>
      <c r="K63" s="60"/>
      <c r="L63" s="21"/>
    </row>
    <row r="64" spans="1:12" s="116" customFormat="1" ht="93" x14ac:dyDescent="0.3">
      <c r="A64" s="192">
        <f>IFERROR(LOOKUP(2,1/(ISNUMBER($A$2:$A$63)),$A$2:$A$63),0)+1</f>
        <v>9</v>
      </c>
      <c r="B64" s="111" t="s">
        <v>16</v>
      </c>
      <c r="C64" s="144" t="s">
        <v>63</v>
      </c>
      <c r="D64" s="112"/>
      <c r="E64" s="113"/>
      <c r="F64" s="113"/>
      <c r="G64" s="113"/>
      <c r="H64" s="77"/>
      <c r="I64" s="114"/>
      <c r="J64" s="8"/>
      <c r="K64" s="9"/>
      <c r="L64" s="115"/>
    </row>
    <row r="65" spans="1:12" ht="15.6" x14ac:dyDescent="0.3">
      <c r="A65" s="189"/>
      <c r="B65" s="55"/>
      <c r="C65" s="56" t="s">
        <v>17</v>
      </c>
      <c r="D65" s="57"/>
      <c r="E65" s="56"/>
      <c r="F65" s="56"/>
      <c r="G65" s="56"/>
      <c r="H65" s="180"/>
      <c r="I65" s="58"/>
      <c r="J65" s="59"/>
      <c r="K65" s="60"/>
      <c r="L65" s="19"/>
    </row>
    <row r="66" spans="1:12" ht="15.6" x14ac:dyDescent="0.3">
      <c r="A66" s="189"/>
      <c r="B66" s="55"/>
      <c r="C66" s="151" t="s">
        <v>50</v>
      </c>
      <c r="D66" s="57">
        <v>10</v>
      </c>
      <c r="E66" s="56">
        <v>14</v>
      </c>
      <c r="F66" s="56"/>
      <c r="G66" s="56"/>
      <c r="H66" s="81">
        <f>D66*IF(OR(E66=0,E66="-"),1,E66)*IF(OR(F66=0,F66="-"),1,F66)*IF(OR(G66=0,G66="-"),1,G66)</f>
        <v>140</v>
      </c>
      <c r="I66" s="58" t="s">
        <v>3</v>
      </c>
      <c r="J66" s="59"/>
      <c r="K66" s="60"/>
      <c r="L66" s="19"/>
    </row>
    <row r="67" spans="1:12" ht="15.6" x14ac:dyDescent="0.3">
      <c r="A67" s="190"/>
      <c r="B67" s="61"/>
      <c r="C67" s="63"/>
      <c r="D67" s="64"/>
      <c r="E67" s="63"/>
      <c r="F67" s="82" t="s">
        <v>4</v>
      </c>
      <c r="G67" s="82"/>
      <c r="H67" s="176">
        <f>SUM(H66:H66)</f>
        <v>140</v>
      </c>
      <c r="I67" s="62" t="s">
        <v>3</v>
      </c>
      <c r="J67" s="186"/>
      <c r="K67" s="175"/>
      <c r="L67" s="20"/>
    </row>
    <row r="68" spans="1:12" ht="15.6" x14ac:dyDescent="0.3">
      <c r="A68" s="191"/>
      <c r="B68" s="66"/>
      <c r="C68" s="67"/>
      <c r="D68" s="65"/>
      <c r="E68" s="83" t="s">
        <v>47</v>
      </c>
      <c r="F68" s="83"/>
      <c r="G68" s="83"/>
      <c r="H68" s="176">
        <f>ROUND(H67*0.3048,3)</f>
        <v>42.671999999999997</v>
      </c>
      <c r="I68" s="84" t="s">
        <v>46</v>
      </c>
      <c r="J68" s="186"/>
      <c r="K68" s="175"/>
      <c r="L68" s="22"/>
    </row>
    <row r="69" spans="1:12" ht="31.05" customHeight="1" x14ac:dyDescent="0.3">
      <c r="A69" s="198"/>
      <c r="B69" s="98"/>
      <c r="C69" s="99"/>
      <c r="D69" s="100"/>
      <c r="E69" s="102" t="s">
        <v>18</v>
      </c>
      <c r="F69" s="102"/>
      <c r="G69" s="102"/>
      <c r="H69" s="176">
        <f>H68*18.361</f>
        <v>783.50059199999998</v>
      </c>
      <c r="I69" s="101" t="s">
        <v>5</v>
      </c>
      <c r="J69" s="187" t="s">
        <v>6</v>
      </c>
      <c r="K69" s="175"/>
      <c r="L69" s="6"/>
    </row>
    <row r="70" spans="1:12" ht="13.95" customHeight="1" x14ac:dyDescent="0.3">
      <c r="A70" s="197"/>
      <c r="B70" s="158"/>
      <c r="C70" s="75"/>
      <c r="D70" s="74"/>
      <c r="E70" s="75"/>
      <c r="F70" s="75"/>
      <c r="G70" s="75"/>
      <c r="H70" s="180"/>
      <c r="I70" s="105"/>
      <c r="J70" s="59"/>
      <c r="K70" s="60"/>
      <c r="L70" s="21"/>
    </row>
    <row r="71" spans="1:12" ht="15.6" x14ac:dyDescent="0.3">
      <c r="A71" s="189"/>
      <c r="B71" s="55"/>
      <c r="C71" s="56" t="s">
        <v>19</v>
      </c>
      <c r="D71" s="57">
        <v>4</v>
      </c>
      <c r="E71" s="56">
        <v>1</v>
      </c>
      <c r="F71" s="56">
        <v>40</v>
      </c>
      <c r="G71" s="56"/>
      <c r="H71" s="81">
        <f>D71*IF(OR(E71=0,E71="-"),1,E71)*IF(OR(F71=0,F71="-"),1,F71)*IF(OR(G71=0,G71="-"),1,G71)</f>
        <v>160</v>
      </c>
      <c r="I71" s="58" t="s">
        <v>3</v>
      </c>
      <c r="J71" s="59"/>
      <c r="K71" s="60"/>
      <c r="L71" s="19"/>
    </row>
    <row r="72" spans="1:12" ht="15.6" x14ac:dyDescent="0.3">
      <c r="A72" s="189"/>
      <c r="B72" s="55"/>
      <c r="C72" s="151" t="s">
        <v>49</v>
      </c>
      <c r="D72" s="57">
        <v>4</v>
      </c>
      <c r="E72" s="56">
        <v>1</v>
      </c>
      <c r="F72" s="56">
        <v>41</v>
      </c>
      <c r="G72" s="56"/>
      <c r="H72" s="81">
        <f>D72*IF(OR(E72=0,E72="-"),1,E72)*IF(OR(F72=0,F72="-"),1,F72)*IF(OR(G72=0,G72="-"),1,G72)</f>
        <v>164</v>
      </c>
      <c r="I72" s="58" t="s">
        <v>3</v>
      </c>
      <c r="J72" s="59"/>
      <c r="K72" s="60"/>
      <c r="L72" s="19"/>
    </row>
    <row r="73" spans="1:12" ht="15.6" x14ac:dyDescent="0.3">
      <c r="A73" s="190"/>
      <c r="B73" s="61"/>
      <c r="C73" s="63"/>
      <c r="D73" s="64"/>
      <c r="E73" s="63"/>
      <c r="F73" s="82" t="s">
        <v>4</v>
      </c>
      <c r="G73" s="82"/>
      <c r="H73" s="176">
        <f>SUM(H71:H72)</f>
        <v>324</v>
      </c>
      <c r="I73" s="62" t="s">
        <v>3</v>
      </c>
      <c r="J73" s="186"/>
      <c r="K73" s="175"/>
      <c r="L73" s="20"/>
    </row>
    <row r="74" spans="1:12" ht="15.6" x14ac:dyDescent="0.3">
      <c r="A74" s="191"/>
      <c r="B74" s="66"/>
      <c r="C74" s="67"/>
      <c r="D74" s="65"/>
      <c r="E74" s="83" t="s">
        <v>47</v>
      </c>
      <c r="F74" s="83"/>
      <c r="G74" s="83"/>
      <c r="H74" s="176">
        <f>ROUND(H73*0.3048,3)</f>
        <v>98.754999999999995</v>
      </c>
      <c r="I74" s="84" t="s">
        <v>46</v>
      </c>
      <c r="J74" s="186"/>
      <c r="K74" s="175"/>
      <c r="L74" s="22"/>
    </row>
    <row r="75" spans="1:12" ht="31.05" customHeight="1" x14ac:dyDescent="0.3">
      <c r="A75" s="198"/>
      <c r="B75" s="98"/>
      <c r="C75" s="99"/>
      <c r="D75" s="100"/>
      <c r="E75" s="102" t="s">
        <v>20</v>
      </c>
      <c r="F75" s="102"/>
      <c r="G75" s="102"/>
      <c r="H75" s="176">
        <f>H74*6.8</f>
        <v>671.53399999999999</v>
      </c>
      <c r="I75" s="101" t="s">
        <v>5</v>
      </c>
      <c r="J75" s="187" t="s">
        <v>9</v>
      </c>
      <c r="K75" s="175"/>
      <c r="L75" s="6"/>
    </row>
    <row r="76" spans="1:12" ht="13.95" customHeight="1" x14ac:dyDescent="0.3">
      <c r="A76" s="197"/>
      <c r="B76" s="158"/>
      <c r="C76" s="75"/>
      <c r="D76" s="74"/>
      <c r="E76" s="75"/>
      <c r="F76" s="75"/>
      <c r="G76" s="75"/>
      <c r="H76" s="180"/>
      <c r="I76" s="105"/>
      <c r="J76" s="59"/>
      <c r="K76" s="60"/>
      <c r="L76" s="21"/>
    </row>
    <row r="77" spans="1:12" ht="15.6" x14ac:dyDescent="0.3">
      <c r="A77" s="189"/>
      <c r="B77" s="55"/>
      <c r="C77" s="56" t="s">
        <v>21</v>
      </c>
      <c r="D77" s="57">
        <v>4</v>
      </c>
      <c r="E77" s="56">
        <v>1</v>
      </c>
      <c r="F77" s="56">
        <v>40</v>
      </c>
      <c r="G77" s="56"/>
      <c r="H77" s="81">
        <f>D77*IF(OR(E77=0,E77="-"),1,E77)*IF(OR(F77=0,F77="-"),1,F77)*IF(OR(G77=0,G77="-"),1,G77)</f>
        <v>160</v>
      </c>
      <c r="I77" s="58" t="s">
        <v>3</v>
      </c>
      <c r="J77" s="59"/>
      <c r="K77" s="60"/>
      <c r="L77" s="19"/>
    </row>
    <row r="78" spans="1:12" ht="15.6" x14ac:dyDescent="0.3">
      <c r="A78" s="189"/>
      <c r="B78" s="55"/>
      <c r="C78" s="151" t="s">
        <v>45</v>
      </c>
      <c r="D78" s="57">
        <v>4</v>
      </c>
      <c r="E78" s="56">
        <v>1</v>
      </c>
      <c r="F78" s="56">
        <v>41</v>
      </c>
      <c r="G78" s="56"/>
      <c r="H78" s="81">
        <f>D78*IF(OR(E78=0,E78="-"),1,E78)*IF(OR(F78=0,F78="-"),1,F78)*IF(OR(G78=0,G78="-"),1,G78)</f>
        <v>164</v>
      </c>
      <c r="I78" s="58" t="s">
        <v>3</v>
      </c>
      <c r="J78" s="59"/>
      <c r="K78" s="60"/>
      <c r="L78" s="19"/>
    </row>
    <row r="79" spans="1:12" ht="15.6" x14ac:dyDescent="0.3">
      <c r="A79" s="190"/>
      <c r="B79" s="61"/>
      <c r="C79" s="63"/>
      <c r="D79" s="64"/>
      <c r="E79" s="63"/>
      <c r="F79" s="82" t="s">
        <v>4</v>
      </c>
      <c r="G79" s="82"/>
      <c r="H79" s="176">
        <f>SUM(H77:H78)</f>
        <v>324</v>
      </c>
      <c r="I79" s="62" t="s">
        <v>3</v>
      </c>
      <c r="J79" s="186"/>
      <c r="K79" s="175"/>
      <c r="L79" s="20"/>
    </row>
    <row r="80" spans="1:12" ht="15.6" x14ac:dyDescent="0.3">
      <c r="A80" s="191"/>
      <c r="B80" s="66"/>
      <c r="C80" s="67"/>
      <c r="D80" s="65"/>
      <c r="E80" s="83" t="s">
        <v>47</v>
      </c>
      <c r="F80" s="83"/>
      <c r="G80" s="83"/>
      <c r="H80" s="176">
        <f>ROUND(H79*0.3048,3)</f>
        <v>98.754999999999995</v>
      </c>
      <c r="I80" s="84" t="s">
        <v>46</v>
      </c>
      <c r="J80" s="186"/>
      <c r="K80" s="175"/>
      <c r="L80" s="22"/>
    </row>
    <row r="81" spans="1:12" ht="31.05" customHeight="1" x14ac:dyDescent="0.3">
      <c r="A81" s="198"/>
      <c r="B81" s="98"/>
      <c r="C81" s="99"/>
      <c r="D81" s="100"/>
      <c r="E81" s="102" t="s">
        <v>48</v>
      </c>
      <c r="F81" s="102"/>
      <c r="G81" s="102"/>
      <c r="H81" s="176">
        <f>H80*7.21785</f>
        <v>712.79877675</v>
      </c>
      <c r="I81" s="101" t="s">
        <v>5</v>
      </c>
      <c r="J81" s="187" t="s">
        <v>60</v>
      </c>
      <c r="K81" s="175"/>
      <c r="L81" s="6"/>
    </row>
    <row r="82" spans="1:12" ht="13.95" customHeight="1" x14ac:dyDescent="0.3">
      <c r="A82" s="197"/>
      <c r="B82" s="158"/>
      <c r="C82" s="75"/>
      <c r="D82" s="74"/>
      <c r="E82" s="75"/>
      <c r="F82" s="75"/>
      <c r="G82" s="75"/>
      <c r="H82" s="180"/>
      <c r="I82" s="105"/>
      <c r="J82" s="59"/>
      <c r="K82" s="171">
        <f>0</f>
        <v>0</v>
      </c>
      <c r="L82" s="21"/>
    </row>
    <row r="83" spans="1:12" ht="28.8" x14ac:dyDescent="0.3">
      <c r="A83" s="191"/>
      <c r="B83" s="66"/>
      <c r="C83" s="67"/>
      <c r="D83" s="65"/>
      <c r="E83" s="207" t="s">
        <v>61</v>
      </c>
      <c r="F83" s="207"/>
      <c r="G83" s="207"/>
      <c r="H83" s="208">
        <f>ROUND(SUM(H69,H75,H81),3)</f>
        <v>2167.8330000000001</v>
      </c>
      <c r="I83" s="68" t="s">
        <v>62</v>
      </c>
      <c r="J83" s="186" t="s">
        <v>146</v>
      </c>
      <c r="K83" s="172">
        <f>IF(B64="13.30.1",IF(J83="Labour Rate",20,IF(J83="Material Rate",87,IF(J83="Through Rate",105,0))),"")</f>
        <v>20</v>
      </c>
      <c r="L83" s="148">
        <f>IF(H83*K83&lt;&gt;0,H83*K83,0)</f>
        <v>43356.66</v>
      </c>
    </row>
    <row r="84" spans="1:12" ht="13.95" customHeight="1" x14ac:dyDescent="0.3">
      <c r="A84" s="197"/>
      <c r="B84" s="158"/>
      <c r="C84" s="75"/>
      <c r="D84" s="74"/>
      <c r="E84" s="75"/>
      <c r="F84" s="75"/>
      <c r="G84" s="75"/>
      <c r="H84" s="180"/>
      <c r="I84" s="105"/>
      <c r="J84" s="59"/>
      <c r="K84" s="60"/>
      <c r="L84" s="21"/>
    </row>
    <row r="85" spans="1:12" s="116" customFormat="1" ht="65.400000000000006" x14ac:dyDescent="0.3">
      <c r="A85" s="192">
        <f>IFERROR(LOOKUP(2,1/(ISNUMBER($A$2:$A$84)),$A$2:$A$84),0)+1</f>
        <v>10</v>
      </c>
      <c r="B85" s="126" t="s">
        <v>29</v>
      </c>
      <c r="C85" s="146" t="s">
        <v>59</v>
      </c>
      <c r="D85" s="128"/>
      <c r="E85" s="129"/>
      <c r="F85" s="130"/>
      <c r="G85" s="129"/>
      <c r="H85" s="79"/>
      <c r="I85" s="131"/>
      <c r="J85" s="8"/>
      <c r="K85" s="9"/>
      <c r="L85" s="115"/>
    </row>
    <row r="86" spans="1:12" ht="15.6" x14ac:dyDescent="0.3">
      <c r="A86" s="189"/>
      <c r="B86" s="125"/>
      <c r="C86" s="164"/>
      <c r="D86" s="72">
        <v>2</v>
      </c>
      <c r="E86" s="72">
        <v>11.25</v>
      </c>
      <c r="F86" s="73">
        <v>0.75</v>
      </c>
      <c r="G86" s="72">
        <v>9</v>
      </c>
      <c r="H86" s="182">
        <f>D86*IF(OR(E86=0,E86="-"),1,E86)*IF(OR(F86=0,F86="-"),1,F86)*IF(OR(G86=0,G86="-"),1,G86)</f>
        <v>151.875</v>
      </c>
      <c r="I86" s="95" t="s">
        <v>24</v>
      </c>
      <c r="J86" s="59"/>
      <c r="K86" s="60"/>
      <c r="L86" s="19"/>
    </row>
    <row r="87" spans="1:12" ht="15.6" x14ac:dyDescent="0.3">
      <c r="A87" s="189"/>
      <c r="B87" s="125"/>
      <c r="C87" s="164"/>
      <c r="D87" s="72">
        <v>2</v>
      </c>
      <c r="E87" s="72">
        <v>4</v>
      </c>
      <c r="F87" s="73">
        <v>0.75</v>
      </c>
      <c r="G87" s="72">
        <v>9</v>
      </c>
      <c r="H87" s="182">
        <f>D87*IF(OR(E87=0,E87="-"),1,E87)*IF(OR(F87=0,F87="-"),1,F87)*IF(OR(G87=0,G87="-"),1,G87)</f>
        <v>54</v>
      </c>
      <c r="I87" s="95" t="s">
        <v>24</v>
      </c>
      <c r="J87" s="59"/>
      <c r="K87" s="60"/>
      <c r="L87" s="19"/>
    </row>
    <row r="88" spans="1:12" ht="15.6" x14ac:dyDescent="0.3">
      <c r="A88" s="189"/>
      <c r="B88" s="125"/>
      <c r="C88" s="164"/>
      <c r="D88" s="72">
        <v>1</v>
      </c>
      <c r="E88" s="72">
        <v>11.25</v>
      </c>
      <c r="F88" s="73">
        <v>0.75</v>
      </c>
      <c r="G88" s="72">
        <v>6</v>
      </c>
      <c r="H88" s="182">
        <f>D88*IF(OR(E88=0,E88="-"),1,E88)*IF(OR(F88=0,F88="-"),1,F88)*IF(OR(G88=0,G88="-"),1,G88)</f>
        <v>50.625</v>
      </c>
      <c r="I88" s="95" t="s">
        <v>24</v>
      </c>
      <c r="J88" s="59"/>
      <c r="K88" s="60"/>
      <c r="L88" s="19"/>
    </row>
    <row r="89" spans="1:12" ht="15.6" x14ac:dyDescent="0.3">
      <c r="A89" s="189"/>
      <c r="B89" s="125"/>
      <c r="C89" s="164"/>
      <c r="D89" s="72">
        <v>1</v>
      </c>
      <c r="E89" s="72">
        <v>3</v>
      </c>
      <c r="F89" s="73">
        <v>0.75</v>
      </c>
      <c r="G89" s="72">
        <v>9</v>
      </c>
      <c r="H89" s="182">
        <f>D89*IF(OR(E89=0,E89="-"),1,E89)*IF(OR(F89=0,F89="-"),1,F89)*IF(OR(G89=0,G89="-"),1,G89)</f>
        <v>20.25</v>
      </c>
      <c r="I89" s="95" t="s">
        <v>24</v>
      </c>
      <c r="J89" s="59"/>
      <c r="K89" s="60"/>
      <c r="L89" s="19"/>
    </row>
    <row r="90" spans="1:12" ht="15.6" x14ac:dyDescent="0.3">
      <c r="A90" s="189"/>
      <c r="B90" s="125"/>
      <c r="C90" s="164" t="s">
        <v>30</v>
      </c>
      <c r="D90" s="72">
        <v>-3</v>
      </c>
      <c r="E90" s="72">
        <v>2.5</v>
      </c>
      <c r="F90" s="73">
        <v>0.75</v>
      </c>
      <c r="G90" s="72">
        <v>7</v>
      </c>
      <c r="H90" s="182">
        <f>D90*IF(OR(E90=0,E90="-"),1,E90)*IF(OR(F90=0,F90="-"),1,F90)*IF(OR(G90=0,G90="-"),1,G90)</f>
        <v>-39.375</v>
      </c>
      <c r="I90" s="95" t="s">
        <v>24</v>
      </c>
      <c r="J90" s="59"/>
      <c r="K90" s="60"/>
      <c r="L90" s="19"/>
    </row>
    <row r="91" spans="1:12" ht="15.6" x14ac:dyDescent="0.3">
      <c r="A91" s="189"/>
      <c r="B91" s="125"/>
      <c r="C91" s="164" t="s">
        <v>30</v>
      </c>
      <c r="D91" s="72">
        <v>-3</v>
      </c>
      <c r="E91" s="72">
        <v>1.5</v>
      </c>
      <c r="F91" s="73">
        <v>0.75</v>
      </c>
      <c r="G91" s="72">
        <v>1.5</v>
      </c>
      <c r="H91" s="182">
        <f>D91*IF(OR(E91=0,E91="-"),1,E91)*IF(OR(F91=0,F91="-"),1,F91)*IF(OR(G91=0,G91="-"),1,G91)</f>
        <v>-5.0625</v>
      </c>
      <c r="I91" s="95" t="s">
        <v>24</v>
      </c>
      <c r="J91" s="59"/>
      <c r="K91" s="60"/>
      <c r="L91" s="19"/>
    </row>
    <row r="92" spans="1:12" ht="15.6" x14ac:dyDescent="0.3">
      <c r="A92" s="190"/>
      <c r="B92" s="165"/>
      <c r="C92" s="166"/>
      <c r="D92" s="92"/>
      <c r="E92" s="92"/>
      <c r="F92" s="96" t="s">
        <v>26</v>
      </c>
      <c r="G92" s="96"/>
      <c r="H92" s="183">
        <f>SUM(H86:H91)</f>
        <v>232.3125</v>
      </c>
      <c r="I92" s="94" t="s">
        <v>24</v>
      </c>
      <c r="J92" s="186"/>
      <c r="K92" s="171">
        <f>0</f>
        <v>0</v>
      </c>
      <c r="L92" s="20"/>
    </row>
    <row r="93" spans="1:12" ht="28.8" x14ac:dyDescent="0.3">
      <c r="A93" s="191"/>
      <c r="B93" s="118"/>
      <c r="C93" s="127"/>
      <c r="D93" s="89"/>
      <c r="E93" s="97" t="s">
        <v>27</v>
      </c>
      <c r="F93" s="97"/>
      <c r="G93" s="97"/>
      <c r="H93" s="184">
        <f>ROUND(H92*0.028316846592,3)</f>
        <v>6.5780000000000003</v>
      </c>
      <c r="I93" s="91" t="s">
        <v>28</v>
      </c>
      <c r="J93" s="186" t="s">
        <v>143</v>
      </c>
      <c r="K93" s="172">
        <f>IF(B85="7.22.2",IF(J93="Labour Rate",572,IF(J93="Material Rate",3389,IF(J93="Through Rate",3961,IF(J93="Labour Rate Amnd",1099,IF(J93="Material Rate Amnd",3389,IF(J93="Through Rate Amnd",4488,0)))))),"")</f>
        <v>1099</v>
      </c>
      <c r="L93" s="148">
        <f>IF(H93*K93&lt;&gt;0,H93*K93,0)</f>
        <v>7229.2220000000007</v>
      </c>
    </row>
    <row r="94" spans="1:12" ht="13.95" customHeight="1" x14ac:dyDescent="0.3">
      <c r="A94" s="197"/>
      <c r="B94" s="158"/>
      <c r="C94" s="75"/>
      <c r="D94" s="74"/>
      <c r="E94" s="75"/>
      <c r="F94" s="75"/>
      <c r="G94" s="75"/>
      <c r="H94" s="180"/>
      <c r="I94" s="105"/>
      <c r="J94" s="59"/>
      <c r="K94" s="60"/>
      <c r="L94" s="21"/>
    </row>
    <row r="95" spans="1:12" s="116" customFormat="1" ht="93" x14ac:dyDescent="0.3">
      <c r="A95" s="192">
        <f>IFERROR(LOOKUP(2,1/(ISNUMBER($A$2:$A$94)),$A$2:$A$94),0)+1</f>
        <v>11</v>
      </c>
      <c r="B95" s="111" t="s">
        <v>31</v>
      </c>
      <c r="C95" s="144" t="s">
        <v>58</v>
      </c>
      <c r="D95" s="112"/>
      <c r="E95" s="113"/>
      <c r="F95" s="113"/>
      <c r="G95" s="113"/>
      <c r="H95" s="77"/>
      <c r="I95" s="114"/>
      <c r="J95" s="8"/>
      <c r="K95" s="9"/>
      <c r="L95" s="115"/>
    </row>
    <row r="96" spans="1:12" ht="15.6" x14ac:dyDescent="0.3">
      <c r="A96" s="189"/>
      <c r="B96" s="55"/>
      <c r="C96" s="56"/>
      <c r="D96" s="57">
        <v>1</v>
      </c>
      <c r="E96" s="56">
        <v>1</v>
      </c>
      <c r="F96" s="56"/>
      <c r="G96" s="56"/>
      <c r="H96" s="81">
        <f>D96*IF(OR(E96=0,E96="-"),1,E96)*IF(OR(F96=0,F96="-"),1,F96)*IF(OR(G96=0,G96="-"),1,G96)</f>
        <v>1</v>
      </c>
      <c r="I96" s="58" t="s">
        <v>43</v>
      </c>
      <c r="J96" s="59"/>
      <c r="K96" s="60"/>
      <c r="L96" s="19"/>
    </row>
    <row r="97" spans="1:12" ht="15.6" x14ac:dyDescent="0.3">
      <c r="A97" s="190"/>
      <c r="B97" s="61"/>
      <c r="C97" s="63"/>
      <c r="D97" s="64"/>
      <c r="E97" s="63"/>
      <c r="F97" s="82" t="s">
        <v>44</v>
      </c>
      <c r="G97" s="82"/>
      <c r="H97" s="176">
        <f>SUM(H96:H96)</f>
        <v>1</v>
      </c>
      <c r="I97" s="62" t="s">
        <v>43</v>
      </c>
      <c r="J97" s="186"/>
      <c r="K97" s="171">
        <f>0</f>
        <v>0</v>
      </c>
      <c r="L97" s="20"/>
    </row>
    <row r="98" spans="1:12" ht="28.8" x14ac:dyDescent="0.3">
      <c r="A98" s="191"/>
      <c r="B98" s="66"/>
      <c r="C98" s="67"/>
      <c r="D98" s="65"/>
      <c r="E98" s="83" t="s">
        <v>44</v>
      </c>
      <c r="F98" s="83"/>
      <c r="G98" s="83"/>
      <c r="H98" s="176">
        <f>ROUND(H97*1,3)</f>
        <v>1</v>
      </c>
      <c r="I98" s="68" t="s">
        <v>43</v>
      </c>
      <c r="J98" s="186" t="s">
        <v>146</v>
      </c>
      <c r="K98" s="172">
        <f>IF(B95="9.59.2",IF(J98="Labour Rate",104,IF(J98="Material Rate",43,IF(J98="Through Rate",147,0))),"")</f>
        <v>104</v>
      </c>
      <c r="L98" s="148">
        <f>IF(H98*K98&lt;&gt;0,H98*K98,0)</f>
        <v>104</v>
      </c>
    </row>
    <row r="99" spans="1:12" ht="13.95" customHeight="1" x14ac:dyDescent="0.3">
      <c r="A99" s="197"/>
      <c r="B99" s="158"/>
      <c r="C99" s="75"/>
      <c r="D99" s="74"/>
      <c r="E99" s="75"/>
      <c r="F99" s="75"/>
      <c r="G99" s="75"/>
      <c r="H99" s="180"/>
      <c r="I99" s="105"/>
      <c r="J99" s="59"/>
      <c r="K99" s="60"/>
      <c r="L99" s="21"/>
    </row>
    <row r="100" spans="1:12" s="116" customFormat="1" ht="69" x14ac:dyDescent="0.3">
      <c r="A100" s="192">
        <f>IFERROR(LOOKUP(2,1/(ISNUMBER($A$2:$A$99)),$A$2:$A$99),0)+1</f>
        <v>12</v>
      </c>
      <c r="B100" s="126" t="s">
        <v>34</v>
      </c>
      <c r="C100" s="146" t="s">
        <v>57</v>
      </c>
      <c r="D100" s="121"/>
      <c r="E100" s="122"/>
      <c r="F100" s="123"/>
      <c r="G100" s="122"/>
      <c r="H100" s="80"/>
      <c r="I100" s="124"/>
      <c r="J100" s="25"/>
      <c r="K100" s="9"/>
      <c r="L100" s="115"/>
    </row>
    <row r="101" spans="1:12" ht="15.6" x14ac:dyDescent="0.3">
      <c r="A101" s="189"/>
      <c r="B101" s="167"/>
      <c r="C101" s="76"/>
      <c r="D101" s="70">
        <v>1</v>
      </c>
      <c r="E101" s="70">
        <v>500</v>
      </c>
      <c r="F101" s="71"/>
      <c r="G101" s="70"/>
      <c r="H101" s="178">
        <f>D101*IF(OR(E101=0,E101="-"),1,E101)*IF(OR(F101=0,F101="-"),1,F101)*IF(OR(G101=0,G101="-"),1,G101)</f>
        <v>500</v>
      </c>
      <c r="I101" s="85" t="s">
        <v>42</v>
      </c>
      <c r="J101" s="168"/>
      <c r="K101" s="60"/>
      <c r="L101" s="19"/>
    </row>
    <row r="102" spans="1:12" ht="15.6" x14ac:dyDescent="0.3">
      <c r="A102" s="190"/>
      <c r="B102" s="165"/>
      <c r="C102" s="169"/>
      <c r="D102" s="92"/>
      <c r="E102" s="92"/>
      <c r="F102" s="93" t="s">
        <v>36</v>
      </c>
      <c r="G102" s="93"/>
      <c r="H102" s="183">
        <f>SUM(H101:H101)</f>
        <v>500</v>
      </c>
      <c r="I102" s="94" t="s">
        <v>42</v>
      </c>
      <c r="J102" s="188"/>
      <c r="K102" s="171">
        <f>0</f>
        <v>0</v>
      </c>
      <c r="L102" s="20"/>
    </row>
    <row r="103" spans="1:12" ht="31.2" x14ac:dyDescent="0.3">
      <c r="A103" s="191"/>
      <c r="B103" s="118"/>
      <c r="C103" s="119"/>
      <c r="D103" s="89"/>
      <c r="E103" s="90" t="s">
        <v>36</v>
      </c>
      <c r="F103" s="90"/>
      <c r="G103" s="90"/>
      <c r="H103" s="184">
        <f>ROUND(H102*1,3)</f>
        <v>500</v>
      </c>
      <c r="I103" s="91" t="s">
        <v>56</v>
      </c>
      <c r="J103" s="188" t="s">
        <v>37</v>
      </c>
      <c r="K103" s="172">
        <f>IF(B100="22.181",IF(J103="Material Rate",6,IF(J103="Through Rate",7,0)),"")</f>
        <v>7</v>
      </c>
      <c r="L103" s="148">
        <f>IF(H103*K103&lt;&gt;0,H103*K103,0)</f>
        <v>3500</v>
      </c>
    </row>
    <row r="104" spans="1:12" ht="13.95" customHeight="1" x14ac:dyDescent="0.3">
      <c r="A104" s="197"/>
      <c r="B104" s="209"/>
      <c r="C104" s="210"/>
      <c r="D104" s="204"/>
      <c r="E104" s="204"/>
      <c r="F104" s="211"/>
      <c r="G104" s="204"/>
      <c r="H104" s="181"/>
      <c r="I104" s="212"/>
      <c r="J104" s="213"/>
      <c r="K104" s="60"/>
      <c r="L104" s="21"/>
    </row>
    <row r="105" spans="1:12" s="116" customFormat="1" ht="76.8" x14ac:dyDescent="0.3">
      <c r="A105" s="192">
        <f>IFERROR(LOOKUP(2,1/(ISNUMBER($A$2:$A$104)),$A$2:$A$104),0)+1</f>
        <v>13</v>
      </c>
      <c r="B105" s="120" t="s">
        <v>38</v>
      </c>
      <c r="C105" s="146" t="s">
        <v>55</v>
      </c>
      <c r="D105" s="121"/>
      <c r="E105" s="122"/>
      <c r="F105" s="123"/>
      <c r="G105" s="122"/>
      <c r="H105" s="80"/>
      <c r="I105" s="124"/>
      <c r="J105" s="25"/>
      <c r="K105" s="9"/>
      <c r="L105" s="115"/>
    </row>
    <row r="106" spans="1:12" ht="15.6" x14ac:dyDescent="0.3">
      <c r="A106" s="189"/>
      <c r="B106" s="167"/>
      <c r="C106" s="76"/>
      <c r="D106" s="70">
        <v>1</v>
      </c>
      <c r="E106" s="70">
        <v>40</v>
      </c>
      <c r="F106" s="71"/>
      <c r="G106" s="70"/>
      <c r="H106" s="178">
        <f>D106*IF(OR(E106=0,E106="-"),1,E106)*IF(OR(F106=0,F106="-"),1,F106)*IF(OR(G106=0,G106="-"),1,G106)</f>
        <v>40</v>
      </c>
      <c r="I106" s="85" t="s">
        <v>46</v>
      </c>
      <c r="J106" s="168"/>
      <c r="K106" s="60"/>
      <c r="L106" s="19"/>
    </row>
    <row r="107" spans="1:12" ht="15.6" x14ac:dyDescent="0.3">
      <c r="A107" s="190"/>
      <c r="B107" s="170"/>
      <c r="C107" s="106"/>
      <c r="D107" s="86"/>
      <c r="E107" s="86"/>
      <c r="F107" s="87" t="s">
        <v>47</v>
      </c>
      <c r="G107" s="87"/>
      <c r="H107" s="185">
        <f>SUM(H106:H106)</f>
        <v>40</v>
      </c>
      <c r="I107" s="88" t="s">
        <v>46</v>
      </c>
      <c r="J107" s="168"/>
      <c r="K107" s="171">
        <f>0</f>
        <v>0</v>
      </c>
      <c r="L107" s="20"/>
    </row>
    <row r="108" spans="1:12" s="1" customFormat="1" ht="31.2" x14ac:dyDescent="0.3">
      <c r="A108" s="191"/>
      <c r="B108" s="118"/>
      <c r="C108" s="119"/>
      <c r="D108" s="89"/>
      <c r="E108" s="90" t="s">
        <v>47</v>
      </c>
      <c r="F108" s="90"/>
      <c r="G108" s="90"/>
      <c r="H108" s="184">
        <f>ROUND(H107*1,3)</f>
        <v>40</v>
      </c>
      <c r="I108" s="91" t="s">
        <v>46</v>
      </c>
      <c r="J108" s="188" t="s">
        <v>146</v>
      </c>
      <c r="K108" s="172">
        <f>IF(B105="22.222.2.2",IF(J108="Labour Rate",87,IF(J108="Material Rate",236,IF(J108="Through Rate",322,0))),"")</f>
        <v>87</v>
      </c>
      <c r="L108" s="148">
        <f>IF(H108*K108&lt;&gt;0,H108*K108,0)</f>
        <v>3480</v>
      </c>
    </row>
    <row r="109" spans="1:12" ht="13.95" customHeight="1" x14ac:dyDescent="0.3">
      <c r="A109" s="197"/>
      <c r="B109" s="158"/>
      <c r="C109" s="75"/>
      <c r="D109" s="74"/>
      <c r="E109" s="75"/>
      <c r="F109" s="75"/>
      <c r="G109" s="75"/>
      <c r="H109" s="180"/>
      <c r="I109" s="105"/>
      <c r="J109" s="59"/>
      <c r="K109" s="60"/>
      <c r="L109" s="21"/>
    </row>
    <row r="110" spans="1:12" s="116" customFormat="1" ht="51.6" x14ac:dyDescent="0.3">
      <c r="A110" s="192">
        <f>IFERROR(LOOKUP(2,1/(ISNUMBER($A$2:$A$109)),$A$2:$A$109),0)+1</f>
        <v>14</v>
      </c>
      <c r="B110" s="111" t="s">
        <v>144</v>
      </c>
      <c r="C110" s="144" t="s">
        <v>147</v>
      </c>
      <c r="D110" s="199"/>
      <c r="E110" s="200" t="s">
        <v>140</v>
      </c>
      <c r="F110" s="200"/>
      <c r="G110" s="200"/>
      <c r="H110" s="180"/>
      <c r="I110" s="110"/>
      <c r="J110" s="59"/>
      <c r="K110" s="60"/>
      <c r="L110" s="117"/>
    </row>
    <row r="111" spans="1:12" ht="15.6" x14ac:dyDescent="0.3">
      <c r="A111" s="189"/>
      <c r="B111" s="55"/>
      <c r="C111" s="56" t="s">
        <v>141</v>
      </c>
      <c r="D111" s="57">
        <v>10</v>
      </c>
      <c r="E111" s="56">
        <f>(1+3)/2</f>
        <v>2</v>
      </c>
      <c r="F111" s="56">
        <v>2</v>
      </c>
      <c r="G111" s="56"/>
      <c r="H111" s="81">
        <f>D111*IF(OR(E111=0,E111="-"),1,E111)*IF(OR(F111=0,F111="-"),1,F111)*IF(OR(G111=0,G111="-"),1,G111)</f>
        <v>40</v>
      </c>
      <c r="I111" s="58" t="s">
        <v>12</v>
      </c>
      <c r="J111" s="59"/>
      <c r="K111" s="60"/>
      <c r="L111" s="19"/>
    </row>
    <row r="112" spans="1:12" ht="15.6" x14ac:dyDescent="0.3">
      <c r="A112" s="189"/>
      <c r="B112" s="55"/>
      <c r="C112" s="56" t="s">
        <v>142</v>
      </c>
      <c r="D112" s="57">
        <v>12</v>
      </c>
      <c r="E112" s="56">
        <f>(2+4)/2</f>
        <v>3</v>
      </c>
      <c r="F112" s="56">
        <v>3</v>
      </c>
      <c r="G112" s="56"/>
      <c r="H112" s="81">
        <f>D112*IF(OR(E112=0,E112="-"),1,E112)*IF(OR(F112=0,F112="-"),1,F112)*IF(OR(G112=0,G112="-"),1,G112)</f>
        <v>108</v>
      </c>
      <c r="I112" s="58" t="s">
        <v>12</v>
      </c>
      <c r="J112" s="59"/>
      <c r="K112" s="60"/>
      <c r="L112" s="19"/>
    </row>
    <row r="113" spans="1:13" ht="15.6" x14ac:dyDescent="0.3">
      <c r="A113" s="190"/>
      <c r="B113" s="61"/>
      <c r="C113" s="63"/>
      <c r="D113" s="64"/>
      <c r="E113" s="63"/>
      <c r="F113" s="82" t="s">
        <v>13</v>
      </c>
      <c r="G113" s="82"/>
      <c r="H113" s="176">
        <f>SUM(H111:H112)</f>
        <v>148</v>
      </c>
      <c r="I113" s="62" t="s">
        <v>12</v>
      </c>
      <c r="J113" s="186"/>
      <c r="K113" s="171">
        <f>0</f>
        <v>0</v>
      </c>
      <c r="L113" s="20"/>
    </row>
    <row r="114" spans="1:13" ht="28.8" x14ac:dyDescent="0.3">
      <c r="A114" s="191"/>
      <c r="B114" s="66"/>
      <c r="C114" s="67"/>
      <c r="D114" s="65"/>
      <c r="E114" s="83" t="s">
        <v>14</v>
      </c>
      <c r="F114" s="83"/>
      <c r="G114" s="83"/>
      <c r="H114" s="176">
        <f>ROUND(H113*0.09290304,3)</f>
        <v>13.75</v>
      </c>
      <c r="I114" s="68" t="s">
        <v>15</v>
      </c>
      <c r="J114" s="186" t="s">
        <v>146</v>
      </c>
      <c r="K114" s="172">
        <f>IF(B110="6.30.1",IF(J114="Labour Rate",95,IF(J114="Material Rate",62,IF(J114="Through Rate",156,0))),"")</f>
        <v>95</v>
      </c>
      <c r="L114" s="148">
        <f>IF(H114*K114&lt;&gt;0,H114*K114,0)</f>
        <v>1306.25</v>
      </c>
    </row>
    <row r="115" spans="1:13" ht="13.95" customHeight="1" x14ac:dyDescent="0.3">
      <c r="A115" s="197"/>
      <c r="B115" s="158"/>
      <c r="C115" s="75"/>
      <c r="D115" s="74"/>
      <c r="E115" s="75"/>
      <c r="F115" s="75"/>
      <c r="G115" s="75"/>
      <c r="H115" s="180"/>
      <c r="I115" s="105"/>
      <c r="J115" s="59"/>
      <c r="K115" s="60"/>
      <c r="L115" s="21"/>
    </row>
    <row r="116" spans="1:13" s="116" customFormat="1" ht="15.6" x14ac:dyDescent="0.3">
      <c r="A116" s="192">
        <f>IFERROR(LOOKUP(2,1/(ISNUMBER($A$2:$A$115)),$A$2:$A$115),0)+1</f>
        <v>15</v>
      </c>
      <c r="B116" s="111" t="s">
        <v>145</v>
      </c>
      <c r="C116" s="147" t="s">
        <v>91</v>
      </c>
      <c r="D116" s="112"/>
      <c r="E116" s="113"/>
      <c r="F116" s="113"/>
      <c r="G116" s="113"/>
      <c r="H116" s="77"/>
      <c r="I116" s="114"/>
      <c r="J116" s="8"/>
      <c r="K116" s="9"/>
      <c r="L116" s="115"/>
    </row>
    <row r="117" spans="1:13" ht="15.6" x14ac:dyDescent="0.3">
      <c r="A117" s="189"/>
      <c r="B117" s="55"/>
      <c r="C117" s="56"/>
      <c r="D117" s="57">
        <v>10</v>
      </c>
      <c r="E117" s="56">
        <v>1</v>
      </c>
      <c r="F117" s="56"/>
      <c r="G117" s="56"/>
      <c r="H117" s="81">
        <f>D117*IF(OR(E117=0,E117="-"),1,E117)*IF(OR(F117=0,F117="-"),1,F117)*IF(OR(G117=0,G117="-"),1,G117)</f>
        <v>10</v>
      </c>
      <c r="I117" s="58" t="s">
        <v>92</v>
      </c>
      <c r="J117" s="59"/>
      <c r="K117" s="60"/>
      <c r="L117" s="19"/>
    </row>
    <row r="118" spans="1:13" ht="15.6" x14ac:dyDescent="0.3">
      <c r="A118" s="190"/>
      <c r="B118" s="61"/>
      <c r="C118" s="63"/>
      <c r="D118" s="64"/>
      <c r="E118" s="63"/>
      <c r="F118" s="82" t="s">
        <v>33</v>
      </c>
      <c r="G118" s="82"/>
      <c r="H118" s="176">
        <f>SUM(H117:H117)</f>
        <v>10</v>
      </c>
      <c r="I118" s="62" t="s">
        <v>92</v>
      </c>
      <c r="J118" s="186"/>
      <c r="K118" s="175"/>
      <c r="L118" s="20"/>
    </row>
    <row r="119" spans="1:13" s="1" customFormat="1" x14ac:dyDescent="0.3">
      <c r="A119" s="5" t="s">
        <v>83</v>
      </c>
      <c r="B119" s="66"/>
      <c r="C119" s="67"/>
      <c r="D119" s="65"/>
      <c r="E119" s="83" t="s">
        <v>33</v>
      </c>
      <c r="F119" s="83"/>
      <c r="G119" s="83"/>
      <c r="H119" s="176">
        <f>ROUND(H118*1,3)</f>
        <v>10</v>
      </c>
      <c r="I119" s="84"/>
      <c r="J119" s="186" t="s">
        <v>93</v>
      </c>
      <c r="K119" s="175">
        <v>0</v>
      </c>
      <c r="L119" s="7"/>
    </row>
    <row r="120" spans="1:13" ht="13.95" customHeight="1" thickBot="1" x14ac:dyDescent="0.35">
      <c r="A120" s="215"/>
      <c r="B120" s="216"/>
      <c r="C120" s="217"/>
      <c r="D120" s="218"/>
      <c r="E120" s="217"/>
      <c r="F120" s="217"/>
      <c r="G120" s="217"/>
      <c r="H120" s="219"/>
      <c r="I120" s="220"/>
      <c r="J120" s="220"/>
      <c r="K120" s="220"/>
      <c r="L120" s="221"/>
    </row>
    <row r="121" spans="1:13" ht="15" thickTop="1" x14ac:dyDescent="0.3">
      <c r="E121" s="149"/>
      <c r="F121" s="149"/>
      <c r="G121" s="149"/>
      <c r="H121" s="149"/>
      <c r="I121" s="149"/>
      <c r="J121" s="23" t="s">
        <v>84</v>
      </c>
      <c r="K121" s="10"/>
      <c r="L121" s="24">
        <f>SUM(L3:INDEX(L:L,ROW()-1))</f>
        <v>66229.757000000012</v>
      </c>
      <c r="M121" s="149"/>
    </row>
    <row r="122" spans="1:13" x14ac:dyDescent="0.3">
      <c r="E122" s="149"/>
      <c r="F122" s="149"/>
      <c r="G122" s="149"/>
      <c r="H122" s="149"/>
      <c r="I122" s="149"/>
      <c r="J122" s="11" t="s">
        <v>85</v>
      </c>
      <c r="K122" s="12">
        <v>0.05</v>
      </c>
      <c r="L122" s="13">
        <f>$L$121 * ($K$122)</f>
        <v>3311.4878500000009</v>
      </c>
      <c r="M122" s="149"/>
    </row>
    <row r="123" spans="1:13" ht="14.4" customHeight="1" x14ac:dyDescent="0.3">
      <c r="E123" s="149"/>
      <c r="F123" s="149"/>
      <c r="G123" s="149"/>
      <c r="H123" s="149"/>
      <c r="I123" s="149"/>
      <c r="J123" s="11" t="s">
        <v>86</v>
      </c>
      <c r="K123" s="14"/>
      <c r="L123" s="15">
        <f>$L$121 + $L$122</f>
        <v>69541.244850000017</v>
      </c>
      <c r="M123" s="149"/>
    </row>
    <row r="124" spans="1:13" ht="14.4" customHeight="1" x14ac:dyDescent="0.3">
      <c r="E124" s="149"/>
      <c r="F124" s="149"/>
      <c r="G124" s="149"/>
      <c r="H124" s="149"/>
      <c r="I124" s="149"/>
      <c r="J124" s="11" t="s">
        <v>87</v>
      </c>
      <c r="K124" s="14"/>
      <c r="L124" s="15">
        <f>$L$123*0.18</f>
        <v>12517.424073000002</v>
      </c>
      <c r="M124" s="149"/>
    </row>
    <row r="125" spans="1:13" ht="27.6" x14ac:dyDescent="0.3">
      <c r="E125" s="149"/>
      <c r="F125" s="149"/>
      <c r="G125" s="149"/>
      <c r="H125" s="149"/>
      <c r="I125" s="149"/>
      <c r="J125" s="11" t="s">
        <v>88</v>
      </c>
      <c r="K125" s="12">
        <v>0.01</v>
      </c>
      <c r="L125" s="13">
        <f>$L$123 * ($K$125)</f>
        <v>695.41244850000021</v>
      </c>
      <c r="M125" s="149"/>
    </row>
    <row r="126" spans="1:13" ht="15" customHeight="1" thickBot="1" x14ac:dyDescent="0.35">
      <c r="E126" s="149"/>
      <c r="F126" s="149"/>
      <c r="G126" s="149"/>
      <c r="H126" s="149"/>
      <c r="I126" s="149"/>
      <c r="J126" s="16" t="s">
        <v>89</v>
      </c>
      <c r="K126" s="17"/>
      <c r="L126" s="18">
        <f>$L$123+$L$124+$L$125</f>
        <v>82754.081371500026</v>
      </c>
      <c r="M126" s="149"/>
    </row>
    <row r="127" spans="1:13" ht="15" thickTop="1" x14ac:dyDescent="0.3">
      <c r="E127" s="149"/>
      <c r="F127" s="149"/>
      <c r="G127" s="149"/>
      <c r="H127" s="149"/>
      <c r="I127" s="149"/>
      <c r="J127" s="3"/>
      <c r="K127" s="3"/>
      <c r="L127" s="3"/>
      <c r="M127" s="149"/>
    </row>
    <row r="128" spans="1:13" x14ac:dyDescent="0.3">
      <c r="E128"/>
      <c r="F128"/>
      <c r="G128"/>
      <c r="H128"/>
      <c r="I128"/>
      <c r="J128"/>
      <c r="K128"/>
      <c r="L128"/>
    </row>
    <row r="129" spans="5:13" x14ac:dyDescent="0.3">
      <c r="E129"/>
      <c r="F129"/>
      <c r="G129"/>
      <c r="H129"/>
      <c r="I129"/>
      <c r="J129"/>
      <c r="K129"/>
      <c r="L129"/>
    </row>
    <row r="130" spans="5:13" x14ac:dyDescent="0.3">
      <c r="E130"/>
      <c r="F130"/>
      <c r="G130"/>
      <c r="H130"/>
      <c r="I130"/>
      <c r="J130"/>
      <c r="K130"/>
      <c r="L130"/>
    </row>
    <row r="131" spans="5:13" ht="15" thickBot="1" x14ac:dyDescent="0.35">
      <c r="E131"/>
      <c r="F131"/>
      <c r="G131"/>
      <c r="H131"/>
      <c r="I131"/>
      <c r="J131"/>
      <c r="K131"/>
      <c r="L131"/>
    </row>
    <row r="132" spans="5:13" ht="34.799999999999997" x14ac:dyDescent="0.3">
      <c r="E132"/>
      <c r="F132" s="287" t="s">
        <v>111</v>
      </c>
      <c r="G132" s="288"/>
      <c r="H132" s="289" t="s">
        <v>79</v>
      </c>
      <c r="I132" s="290" t="s">
        <v>80</v>
      </c>
      <c r="J132" s="290" t="s">
        <v>71</v>
      </c>
      <c r="K132" s="290" t="s">
        <v>112</v>
      </c>
      <c r="L132" s="290" t="s">
        <v>82</v>
      </c>
      <c r="M132" s="294" t="s">
        <v>113</v>
      </c>
    </row>
    <row r="133" spans="5:13" ht="15" customHeight="1" x14ac:dyDescent="0.3">
      <c r="E133" s="306"/>
      <c r="F133" s="305" t="s">
        <v>114</v>
      </c>
      <c r="G133" s="247"/>
      <c r="H133" s="248">
        <f>ROUND(((6.578)*1.25),2)</f>
        <v>8.2200000000000006</v>
      </c>
      <c r="I133" s="249" t="s">
        <v>123</v>
      </c>
      <c r="J133" s="250">
        <v>253</v>
      </c>
      <c r="K133" s="251">
        <v>0.18</v>
      </c>
      <c r="L133" s="252">
        <f>ROUND(H133*J133,0)</f>
        <v>2080</v>
      </c>
      <c r="M133" s="295">
        <f>ROUND(L133*(1+K133),0)</f>
        <v>2454</v>
      </c>
    </row>
    <row r="134" spans="5:13" ht="15" customHeight="1" x14ac:dyDescent="0.3">
      <c r="E134" s="312"/>
      <c r="F134" s="307" t="s">
        <v>115</v>
      </c>
      <c r="G134" s="253"/>
      <c r="H134" s="254">
        <f>ROUND(((4.248)*35.336),2)</f>
        <v>150.11000000000001</v>
      </c>
      <c r="I134" s="255" t="s">
        <v>124</v>
      </c>
      <c r="J134" s="256">
        <v>20</v>
      </c>
      <c r="K134" s="257">
        <v>0.05</v>
      </c>
      <c r="L134" s="258">
        <f>ROUND(H134*J134,0)</f>
        <v>3002</v>
      </c>
      <c r="M134" s="296">
        <f>ROUND(L134*(1+K134),0)</f>
        <v>3152</v>
      </c>
    </row>
    <row r="135" spans="5:13" ht="15" customHeight="1" x14ac:dyDescent="0.3">
      <c r="E135" s="312"/>
      <c r="F135" s="308" t="s">
        <v>116</v>
      </c>
      <c r="G135" s="259"/>
      <c r="H135" s="260">
        <f>ROUND(((6.578)*9.452),2)</f>
        <v>62.18</v>
      </c>
      <c r="I135" s="261" t="s">
        <v>124</v>
      </c>
      <c r="J135" s="262">
        <v>48</v>
      </c>
      <c r="K135" s="263">
        <v>0.05</v>
      </c>
      <c r="L135" s="264">
        <f>ROUND(H135*J135,0)</f>
        <v>2985</v>
      </c>
      <c r="M135" s="297">
        <f>ROUND(L135*(1+K135),0)</f>
        <v>3134</v>
      </c>
    </row>
    <row r="136" spans="5:13" ht="30" customHeight="1" x14ac:dyDescent="0.3">
      <c r="E136" s="312"/>
      <c r="F136" s="309" t="s">
        <v>117</v>
      </c>
      <c r="G136" s="265"/>
      <c r="H136" s="266">
        <f>ROUND(((6.578)*480),2)</f>
        <v>3157.44</v>
      </c>
      <c r="I136" s="267" t="s">
        <v>32</v>
      </c>
      <c r="J136" s="268">
        <v>7.7</v>
      </c>
      <c r="K136" s="269">
        <v>0.12</v>
      </c>
      <c r="L136" s="270">
        <f>ROUND(H136*J136,0)</f>
        <v>24312</v>
      </c>
      <c r="M136" s="298">
        <f>ROUND(L136*(1+K136),0)</f>
        <v>27229</v>
      </c>
    </row>
    <row r="137" spans="5:13" ht="30" customHeight="1" x14ac:dyDescent="0.3">
      <c r="E137" s="312"/>
      <c r="F137" s="310" t="s">
        <v>174</v>
      </c>
      <c r="G137" s="271"/>
      <c r="H137" s="272">
        <f>ROUND(((13.75)*10.764),2)</f>
        <v>148.01</v>
      </c>
      <c r="I137" s="273" t="s">
        <v>176</v>
      </c>
      <c r="J137" s="274">
        <v>36</v>
      </c>
      <c r="K137" s="275">
        <v>0.18</v>
      </c>
      <c r="L137" s="276">
        <f>ROUND(H137*J137,0)</f>
        <v>5328</v>
      </c>
      <c r="M137" s="299">
        <f>ROUND(L137*(1+K137),0)</f>
        <v>6287</v>
      </c>
    </row>
    <row r="138" spans="5:13" ht="30" customHeight="1" x14ac:dyDescent="0.3">
      <c r="E138" s="314" t="s">
        <v>130</v>
      </c>
      <c r="F138" s="311" t="s">
        <v>118</v>
      </c>
      <c r="G138" s="277"/>
      <c r="H138" s="278">
        <f>ROUND(((1)*1),2)</f>
        <v>1</v>
      </c>
      <c r="I138" s="279" t="s">
        <v>43</v>
      </c>
      <c r="J138" s="280">
        <v>30</v>
      </c>
      <c r="K138" s="281">
        <v>0.18</v>
      </c>
      <c r="L138" s="282">
        <f>ROUND(H138*J138,0)</f>
        <v>30</v>
      </c>
      <c r="M138" s="300">
        <f>ROUND(L138*(1+K138),0)</f>
        <v>35</v>
      </c>
    </row>
    <row r="139" spans="5:13" ht="30" customHeight="1" x14ac:dyDescent="0.3">
      <c r="E139" s="312"/>
      <c r="F139" s="305" t="s">
        <v>119</v>
      </c>
      <c r="G139" s="247"/>
      <c r="H139" s="248">
        <f>ROUND(((50.998)*1),2)</f>
        <v>51</v>
      </c>
      <c r="I139" s="249" t="s">
        <v>5</v>
      </c>
      <c r="J139" s="250">
        <v>100</v>
      </c>
      <c r="K139" s="251">
        <v>0.18</v>
      </c>
      <c r="L139" s="252">
        <f>ROUND(H139*J139,0)</f>
        <v>5100</v>
      </c>
      <c r="M139" s="295">
        <f>ROUND(L139*(1+K139),0)</f>
        <v>6018</v>
      </c>
    </row>
    <row r="140" spans="5:13" ht="15" customHeight="1" x14ac:dyDescent="0.3">
      <c r="E140" s="312"/>
      <c r="F140" s="307" t="s">
        <v>120</v>
      </c>
      <c r="G140" s="253"/>
      <c r="H140" s="254">
        <f>ROUND(((783.501+671.534+712.799)*1),2)</f>
        <v>2167.83</v>
      </c>
      <c r="I140" s="255" t="s">
        <v>5</v>
      </c>
      <c r="J140" s="256">
        <v>95</v>
      </c>
      <c r="K140" s="257">
        <v>0.18</v>
      </c>
      <c r="L140" s="258">
        <f>ROUND(H140*J140,0)</f>
        <v>205944</v>
      </c>
      <c r="M140" s="296">
        <f>ROUND(L140*(1+K140),0)</f>
        <v>243014</v>
      </c>
    </row>
    <row r="141" spans="5:13" ht="30" customHeight="1" x14ac:dyDescent="0.3">
      <c r="E141" s="312"/>
      <c r="F141" s="308" t="s">
        <v>121</v>
      </c>
      <c r="G141" s="259"/>
      <c r="H141" s="260">
        <f>ROUND(((40)*3.445),2)</f>
        <v>137.80000000000001</v>
      </c>
      <c r="I141" s="261" t="s">
        <v>3</v>
      </c>
      <c r="J141" s="262">
        <v>150</v>
      </c>
      <c r="K141" s="263">
        <v>0.18</v>
      </c>
      <c r="L141" s="264">
        <f>ROUND(H141*J141,0)</f>
        <v>20670</v>
      </c>
      <c r="M141" s="297">
        <f>ROUND(L141*(1+K141),0)</f>
        <v>24391</v>
      </c>
    </row>
    <row r="142" spans="5:13" ht="30" customHeight="1" x14ac:dyDescent="0.3">
      <c r="E142" s="312"/>
      <c r="F142" s="309" t="s">
        <v>122</v>
      </c>
      <c r="G142" s="265"/>
      <c r="H142" s="266">
        <f>ROUND(((500)*1),2)</f>
        <v>500</v>
      </c>
      <c r="I142" s="267" t="s">
        <v>35</v>
      </c>
      <c r="J142" s="268">
        <v>11</v>
      </c>
      <c r="K142" s="269">
        <v>0.18</v>
      </c>
      <c r="L142" s="270">
        <f>ROUND(H142*J142,0)</f>
        <v>5500</v>
      </c>
      <c r="M142" s="298">
        <f>ROUND(L142*(1+K142),0)</f>
        <v>6490</v>
      </c>
    </row>
    <row r="143" spans="5:13" ht="15" customHeight="1" x14ac:dyDescent="0.3">
      <c r="E143" s="313"/>
      <c r="F143" s="310" t="s">
        <v>175</v>
      </c>
      <c r="G143" s="271"/>
      <c r="H143" s="272">
        <f>ROUND(((240)*0.132)+((0+0)*0.132)+((0)*0.048)+((0+0+0)*0.027)+((7229)*0.035)+((104)*0.007)+((3500)*0.005)+((3480)*0.018)+((1306)*0.008),2)</f>
        <v>376.01</v>
      </c>
      <c r="I143" s="273" t="s">
        <v>177</v>
      </c>
      <c r="J143" s="274">
        <v>1</v>
      </c>
      <c r="K143" s="275">
        <v>0</v>
      </c>
      <c r="L143" s="276">
        <f>ROUND(H143*J143,0)</f>
        <v>376</v>
      </c>
      <c r="M143" s="299">
        <f>ROUND(L143*(1+K143),0)</f>
        <v>376</v>
      </c>
    </row>
    <row r="144" spans="5:13" ht="45" customHeight="1" x14ac:dyDescent="0.3">
      <c r="E144" s="317" t="s">
        <v>93</v>
      </c>
      <c r="F144" s="315" t="s">
        <v>178</v>
      </c>
      <c r="G144" s="283"/>
      <c r="H144" s="278">
        <f>ROUND(SUM(3.312),2)</f>
        <v>3.31</v>
      </c>
      <c r="I144" s="279">
        <f>I31</f>
        <v>0</v>
      </c>
      <c r="J144" s="280">
        <v>0</v>
      </c>
      <c r="K144" s="281"/>
      <c r="L144" s="282">
        <f>ROUND(H144*J144,0)</f>
        <v>0</v>
      </c>
      <c r="M144" s="300">
        <f>ROUND(L144*(1+K144),0)</f>
        <v>0</v>
      </c>
    </row>
    <row r="145" spans="5:13" ht="30" customHeight="1" x14ac:dyDescent="0.3">
      <c r="E145" s="313"/>
      <c r="F145" s="316" t="s">
        <v>125</v>
      </c>
      <c r="G145" s="284"/>
      <c r="H145" s="248">
        <f>ROUND(SUM(10),2)</f>
        <v>10</v>
      </c>
      <c r="I145" s="249">
        <f>I119</f>
        <v>0</v>
      </c>
      <c r="J145" s="250">
        <v>0</v>
      </c>
      <c r="K145" s="251"/>
      <c r="L145" s="252">
        <f>ROUND(H145*J145,0)</f>
        <v>0</v>
      </c>
      <c r="M145" s="295">
        <f>ROUND(L145*(1+K145),0)</f>
        <v>0</v>
      </c>
    </row>
    <row r="146" spans="5:13" ht="17.399999999999999" x14ac:dyDescent="0.3">
      <c r="E146" s="304"/>
      <c r="F146" s="285" t="s">
        <v>126</v>
      </c>
      <c r="G146" s="243"/>
      <c r="H146" s="243"/>
      <c r="I146" s="243"/>
      <c r="J146" s="243"/>
      <c r="K146" s="243"/>
      <c r="L146" s="245">
        <f>ROUND(SUM(L$133:INDEX(L:L,ROW()-1)),0)</f>
        <v>275327</v>
      </c>
      <c r="M146" s="301">
        <f>ROUND(SUM(M$133:INDEX(M:M,ROW()-1)),0)</f>
        <v>322580</v>
      </c>
    </row>
    <row r="147" spans="5:13" ht="18" x14ac:dyDescent="0.3">
      <c r="E147" s="304"/>
      <c r="F147" s="286" t="s">
        <v>127</v>
      </c>
      <c r="G147" s="244"/>
      <c r="H147" s="244"/>
      <c r="I147" s="244"/>
      <c r="J147" s="244"/>
      <c r="K147" s="244"/>
      <c r="L147" s="246">
        <f>ROUND(L123,0)</f>
        <v>69541</v>
      </c>
      <c r="M147" s="302">
        <f>ROUND(L126,0)</f>
        <v>82754</v>
      </c>
    </row>
    <row r="148" spans="5:13" ht="18" thickBot="1" x14ac:dyDescent="0.35">
      <c r="E148" s="304"/>
      <c r="F148" s="291" t="s">
        <v>128</v>
      </c>
      <c r="G148" s="292"/>
      <c r="H148" s="292"/>
      <c r="I148" s="292"/>
      <c r="J148" s="292"/>
      <c r="K148" s="292"/>
      <c r="L148" s="293">
        <f>ROUND(SUM(L$146:INDEX(L:L,ROW()-1)),0)</f>
        <v>344868</v>
      </c>
      <c r="M148" s="303">
        <f>ROUND(SUM(M$146:INDEX(M:M,ROW()-1)),0)</f>
        <v>405334</v>
      </c>
    </row>
    <row r="149" spans="5:13" ht="18" x14ac:dyDescent="0.3">
      <c r="E149" s="304"/>
      <c r="F149" s="150"/>
      <c r="G149" s="150"/>
      <c r="H149" s="150"/>
      <c r="I149" s="241" t="s">
        <v>129</v>
      </c>
      <c r="J149" s="241"/>
      <c r="K149" s="241"/>
      <c r="L149" s="242" t="str">
        <f>IF(M148&gt;=10000000,ROUND(M148/10000000,2)&amp;" Crore",IF(M148&gt;=100000,ROUND(M148/100000,2)&amp;" Lakh",IF(M148&gt;=1000,ROUND(M148/1000,2)&amp;" Thousand",ROUND(M148,0)))) &amp; " Only"</f>
        <v>4.05 Lakh Only</v>
      </c>
      <c r="M149" s="242"/>
    </row>
    <row r="150" spans="5:13" x14ac:dyDescent="0.3">
      <c r="E150" s="304"/>
      <c r="F150"/>
      <c r="G150"/>
      <c r="H150"/>
      <c r="I150"/>
      <c r="J150"/>
      <c r="K150"/>
      <c r="L150"/>
    </row>
    <row r="151" spans="5:13" hidden="1" x14ac:dyDescent="0.3">
      <c r="E151" s="304"/>
      <c r="F151"/>
      <c r="G151"/>
      <c r="H151"/>
      <c r="I151"/>
      <c r="J151"/>
      <c r="K151"/>
      <c r="L151"/>
    </row>
    <row r="152" spans="5:13" hidden="1" x14ac:dyDescent="0.3">
      <c r="E152" s="304"/>
      <c r="F152"/>
      <c r="G152"/>
      <c r="H152"/>
      <c r="I152"/>
      <c r="J152"/>
      <c r="K152"/>
      <c r="L152"/>
    </row>
    <row r="153" spans="5:13" hidden="1" x14ac:dyDescent="0.3">
      <c r="E153" s="304"/>
      <c r="F153"/>
      <c r="G153"/>
      <c r="H153"/>
      <c r="I153"/>
      <c r="J153"/>
      <c r="K153"/>
      <c r="L153"/>
    </row>
    <row r="154" spans="5:13" hidden="1" x14ac:dyDescent="0.3">
      <c r="E154" s="304"/>
      <c r="F154"/>
      <c r="G154"/>
      <c r="H154"/>
      <c r="I154"/>
      <c r="J154"/>
      <c r="K154"/>
      <c r="L154"/>
    </row>
    <row r="155" spans="5:13" hidden="1" x14ac:dyDescent="0.3">
      <c r="E155" s="304"/>
      <c r="F155"/>
      <c r="G155"/>
      <c r="H155"/>
      <c r="I155"/>
      <c r="J155"/>
      <c r="K155"/>
      <c r="L155"/>
    </row>
    <row r="156" spans="5:13" hidden="1" x14ac:dyDescent="0.3">
      <c r="E156" s="304"/>
      <c r="F156"/>
      <c r="G156"/>
      <c r="H156"/>
      <c r="I156"/>
      <c r="J156"/>
      <c r="K156"/>
      <c r="L156"/>
    </row>
    <row r="157" spans="5:13" hidden="1" x14ac:dyDescent="0.3">
      <c r="E157" s="304"/>
      <c r="F157"/>
      <c r="G157"/>
      <c r="H157"/>
      <c r="I157"/>
      <c r="J157"/>
      <c r="K157"/>
      <c r="L157"/>
    </row>
    <row r="158" spans="5:13" hidden="1" x14ac:dyDescent="0.3">
      <c r="E158" s="304"/>
      <c r="F158"/>
      <c r="G158"/>
      <c r="H158"/>
      <c r="I158"/>
      <c r="J158"/>
      <c r="K158"/>
      <c r="L158"/>
    </row>
    <row r="159" spans="5:13" hidden="1" x14ac:dyDescent="0.3">
      <c r="E159" s="304"/>
      <c r="F159"/>
      <c r="G159"/>
      <c r="H159"/>
      <c r="I159"/>
      <c r="J159"/>
      <c r="K159"/>
      <c r="L159"/>
    </row>
    <row r="160" spans="5:13" hidden="1" x14ac:dyDescent="0.3">
      <c r="E160" s="304"/>
      <c r="F160"/>
      <c r="G160"/>
      <c r="H160"/>
      <c r="I160"/>
      <c r="J160"/>
      <c r="K160"/>
      <c r="L160"/>
    </row>
    <row r="161" spans="5:12" hidden="1" x14ac:dyDescent="0.3">
      <c r="E161" s="304"/>
      <c r="F161"/>
      <c r="G161"/>
      <c r="H161"/>
      <c r="I161"/>
      <c r="J161"/>
      <c r="K161"/>
      <c r="L161"/>
    </row>
    <row r="162" spans="5:12" hidden="1" x14ac:dyDescent="0.3">
      <c r="E162" s="304"/>
      <c r="F162"/>
      <c r="G162"/>
      <c r="H162"/>
      <c r="I162"/>
      <c r="J162"/>
      <c r="K162"/>
      <c r="L162"/>
    </row>
    <row r="163" spans="5:12" hidden="1" x14ac:dyDescent="0.3">
      <c r="E163" s="304"/>
      <c r="F163"/>
      <c r="G163"/>
      <c r="H163"/>
      <c r="I163"/>
      <c r="J163"/>
      <c r="K163"/>
      <c r="L163"/>
    </row>
    <row r="164" spans="5:12" hidden="1" x14ac:dyDescent="0.3">
      <c r="E164" s="304"/>
      <c r="F164"/>
      <c r="G164"/>
      <c r="H164"/>
      <c r="I164"/>
      <c r="J164"/>
      <c r="K164"/>
      <c r="L164"/>
    </row>
    <row r="165" spans="5:12" hidden="1" x14ac:dyDescent="0.3">
      <c r="E165" s="304"/>
      <c r="F165"/>
      <c r="G165"/>
      <c r="H165"/>
      <c r="I165"/>
      <c r="J165"/>
      <c r="K165"/>
      <c r="L165"/>
    </row>
    <row r="166" spans="5:12" hidden="1" x14ac:dyDescent="0.3">
      <c r="E166"/>
      <c r="F166"/>
      <c r="G166"/>
      <c r="H166"/>
      <c r="I166"/>
      <c r="J166"/>
      <c r="K166"/>
      <c r="L166"/>
    </row>
    <row r="167" spans="5:12" hidden="1" x14ac:dyDescent="0.3">
      <c r="E167"/>
      <c r="F167"/>
      <c r="G167"/>
      <c r="H167"/>
      <c r="I167"/>
      <c r="J167"/>
      <c r="K167"/>
      <c r="L167"/>
    </row>
    <row r="168" spans="5:12" hidden="1" x14ac:dyDescent="0.3">
      <c r="E168"/>
      <c r="F168"/>
      <c r="G168"/>
      <c r="H168"/>
      <c r="I168"/>
      <c r="J168"/>
      <c r="K168"/>
      <c r="L168"/>
    </row>
    <row r="169" spans="5:12" hidden="1" x14ac:dyDescent="0.3">
      <c r="E169"/>
      <c r="F169"/>
      <c r="G169"/>
      <c r="H169"/>
      <c r="I169"/>
      <c r="J169"/>
      <c r="K169"/>
      <c r="L169"/>
    </row>
    <row r="170" spans="5:12" hidden="1" x14ac:dyDescent="0.3">
      <c r="E170"/>
      <c r="F170"/>
      <c r="G170"/>
      <c r="H170"/>
      <c r="I170"/>
      <c r="J170"/>
      <c r="K170"/>
      <c r="L170"/>
    </row>
    <row r="171" spans="5:12" hidden="1" x14ac:dyDescent="0.3">
      <c r="E171"/>
      <c r="F171"/>
      <c r="G171"/>
      <c r="H171"/>
      <c r="I171"/>
      <c r="J171"/>
      <c r="K171"/>
      <c r="L171"/>
    </row>
    <row r="172" spans="5:12" hidden="1" x14ac:dyDescent="0.3">
      <c r="E172"/>
      <c r="F172"/>
      <c r="G172"/>
      <c r="H172"/>
      <c r="I172"/>
      <c r="J172"/>
      <c r="K172"/>
      <c r="L172"/>
    </row>
    <row r="173" spans="5:12" hidden="1" x14ac:dyDescent="0.3">
      <c r="E173"/>
      <c r="F173"/>
      <c r="G173"/>
      <c r="H173"/>
      <c r="I173"/>
      <c r="J173"/>
      <c r="K173"/>
      <c r="L173"/>
    </row>
    <row r="174" spans="5:12" hidden="1" x14ac:dyDescent="0.3">
      <c r="E174"/>
      <c r="F174"/>
      <c r="G174"/>
      <c r="H174"/>
      <c r="I174"/>
      <c r="J174"/>
      <c r="K174"/>
      <c r="L174"/>
    </row>
    <row r="175" spans="5:12" hidden="1" x14ac:dyDescent="0.3">
      <c r="E175"/>
      <c r="F175"/>
      <c r="G175"/>
      <c r="H175"/>
      <c r="I175"/>
      <c r="J175"/>
      <c r="K175"/>
      <c r="L175"/>
    </row>
    <row r="176" spans="5:12" hidden="1" x14ac:dyDescent="0.3">
      <c r="E176"/>
      <c r="F176"/>
      <c r="G176"/>
      <c r="H176"/>
      <c r="I176"/>
      <c r="J176"/>
      <c r="K176"/>
      <c r="L176"/>
    </row>
    <row r="177" spans="5:12" hidden="1" x14ac:dyDescent="0.3">
      <c r="E177"/>
      <c r="F177"/>
      <c r="G177"/>
      <c r="H177"/>
      <c r="I177"/>
      <c r="J177"/>
      <c r="K177"/>
      <c r="L177"/>
    </row>
    <row r="178" spans="5:12" hidden="1" x14ac:dyDescent="0.3">
      <c r="E178"/>
      <c r="F178"/>
      <c r="G178"/>
      <c r="H178"/>
      <c r="I178"/>
      <c r="J178"/>
      <c r="K178"/>
      <c r="L178"/>
    </row>
    <row r="179" spans="5:12" hidden="1" x14ac:dyDescent="0.3">
      <c r="E179"/>
      <c r="F179"/>
      <c r="G179"/>
      <c r="H179"/>
      <c r="I179"/>
      <c r="J179"/>
      <c r="K179"/>
      <c r="L179"/>
    </row>
    <row r="180" spans="5:12" hidden="1" x14ac:dyDescent="0.3">
      <c r="E180"/>
      <c r="F180"/>
      <c r="G180"/>
      <c r="H180"/>
      <c r="I180"/>
      <c r="J180"/>
      <c r="K180"/>
      <c r="L180"/>
    </row>
    <row r="181" spans="5:12" hidden="1" x14ac:dyDescent="0.3">
      <c r="E181"/>
      <c r="F181"/>
      <c r="G181"/>
      <c r="H181"/>
      <c r="I181"/>
      <c r="J181"/>
      <c r="K181"/>
      <c r="L181"/>
    </row>
    <row r="182" spans="5:12" hidden="1" x14ac:dyDescent="0.3">
      <c r="E182"/>
      <c r="F182"/>
      <c r="G182"/>
      <c r="H182"/>
      <c r="I182"/>
      <c r="J182"/>
      <c r="K182"/>
      <c r="L182"/>
    </row>
    <row r="183" spans="5:12" hidden="1" x14ac:dyDescent="0.3">
      <c r="E183"/>
      <c r="F183"/>
      <c r="G183"/>
      <c r="H183"/>
      <c r="I183"/>
      <c r="J183"/>
      <c r="K183"/>
      <c r="L183"/>
    </row>
    <row r="184" spans="5:12" hidden="1" x14ac:dyDescent="0.3">
      <c r="E184"/>
      <c r="F184"/>
      <c r="G184"/>
      <c r="H184"/>
      <c r="I184"/>
      <c r="J184"/>
      <c r="K184"/>
      <c r="L184"/>
    </row>
    <row r="185" spans="5:12" hidden="1" x14ac:dyDescent="0.3">
      <c r="E185"/>
      <c r="F185"/>
      <c r="G185"/>
      <c r="H185"/>
      <c r="I185"/>
      <c r="J185"/>
      <c r="K185"/>
      <c r="L185"/>
    </row>
    <row r="186" spans="5:12" hidden="1" x14ac:dyDescent="0.3">
      <c r="E186"/>
      <c r="F186"/>
      <c r="G186"/>
      <c r="H186"/>
      <c r="I186"/>
      <c r="J186"/>
      <c r="K186"/>
      <c r="L186"/>
    </row>
    <row r="187" spans="5:12" hidden="1" x14ac:dyDescent="0.3">
      <c r="E187"/>
      <c r="F187"/>
      <c r="G187"/>
      <c r="H187"/>
      <c r="I187"/>
      <c r="J187"/>
      <c r="K187"/>
      <c r="L187"/>
    </row>
    <row r="188" spans="5:12" hidden="1" x14ac:dyDescent="0.3">
      <c r="E188"/>
      <c r="F188"/>
      <c r="G188"/>
      <c r="H188"/>
      <c r="I188"/>
      <c r="J188"/>
      <c r="K188"/>
      <c r="L188"/>
    </row>
    <row r="189" spans="5:12" hidden="1" x14ac:dyDescent="0.3">
      <c r="E189"/>
      <c r="F189"/>
      <c r="G189"/>
      <c r="H189"/>
      <c r="I189"/>
      <c r="J189"/>
      <c r="K189"/>
      <c r="L189"/>
    </row>
    <row r="190" spans="5:12" hidden="1" x14ac:dyDescent="0.3">
      <c r="E190"/>
      <c r="F190"/>
      <c r="G190"/>
      <c r="H190"/>
      <c r="I190"/>
      <c r="J190"/>
      <c r="K190"/>
      <c r="L190"/>
    </row>
    <row r="191" spans="5:12" hidden="1" x14ac:dyDescent="0.3">
      <c r="E191"/>
      <c r="F191"/>
      <c r="G191"/>
      <c r="H191"/>
      <c r="I191"/>
      <c r="J191"/>
      <c r="K191"/>
      <c r="L191"/>
    </row>
    <row r="192" spans="5:12" hidden="1" x14ac:dyDescent="0.3">
      <c r="E192"/>
      <c r="F192"/>
      <c r="G192"/>
      <c r="H192"/>
      <c r="I192"/>
      <c r="J192"/>
      <c r="K192"/>
      <c r="L192"/>
    </row>
    <row r="193" spans="5:12" hidden="1" x14ac:dyDescent="0.3">
      <c r="E193"/>
      <c r="F193"/>
      <c r="G193"/>
      <c r="H193"/>
      <c r="I193"/>
      <c r="J193"/>
      <c r="K193"/>
      <c r="L193"/>
    </row>
    <row r="194" spans="5:12" hidden="1" x14ac:dyDescent="0.3">
      <c r="E194"/>
      <c r="F194"/>
      <c r="G194"/>
      <c r="H194"/>
      <c r="I194"/>
      <c r="J194"/>
      <c r="K194"/>
      <c r="L194"/>
    </row>
    <row r="195" spans="5:12" hidden="1" x14ac:dyDescent="0.3">
      <c r="E195"/>
      <c r="F195"/>
      <c r="G195"/>
      <c r="H195"/>
      <c r="I195"/>
      <c r="J195"/>
      <c r="K195"/>
      <c r="L195"/>
    </row>
    <row r="196" spans="5:12" hidden="1" x14ac:dyDescent="0.3">
      <c r="E196"/>
      <c r="F196"/>
      <c r="G196"/>
      <c r="H196"/>
      <c r="I196"/>
      <c r="J196"/>
      <c r="K196"/>
      <c r="L196"/>
    </row>
    <row r="197" spans="5:12" hidden="1" x14ac:dyDescent="0.3">
      <c r="E197"/>
      <c r="F197"/>
      <c r="G197"/>
      <c r="H197"/>
      <c r="I197"/>
      <c r="J197"/>
      <c r="K197"/>
      <c r="L197"/>
    </row>
    <row r="198" spans="5:12" hidden="1" x14ac:dyDescent="0.3">
      <c r="E198"/>
      <c r="F198"/>
      <c r="G198"/>
      <c r="H198"/>
      <c r="I198"/>
      <c r="J198"/>
      <c r="K198"/>
      <c r="L198"/>
    </row>
    <row r="199" spans="5:12" hidden="1" x14ac:dyDescent="0.3">
      <c r="E199"/>
      <c r="F199"/>
      <c r="G199"/>
      <c r="H199"/>
      <c r="I199"/>
      <c r="J199"/>
      <c r="K199"/>
      <c r="L199"/>
    </row>
    <row r="200" spans="5:12" hidden="1" x14ac:dyDescent="0.3">
      <c r="E200"/>
      <c r="F200"/>
      <c r="G200"/>
      <c r="H200"/>
      <c r="I200"/>
      <c r="J200"/>
      <c r="K200"/>
      <c r="L200"/>
    </row>
    <row r="201" spans="5:12" hidden="1" x14ac:dyDescent="0.3">
      <c r="E201"/>
      <c r="F201"/>
      <c r="G201"/>
      <c r="H201"/>
      <c r="I201"/>
      <c r="J201"/>
      <c r="K201"/>
      <c r="L201"/>
    </row>
    <row r="202" spans="5:12" hidden="1" x14ac:dyDescent="0.3">
      <c r="E202"/>
      <c r="F202"/>
      <c r="G202"/>
      <c r="H202"/>
      <c r="I202"/>
      <c r="J202"/>
      <c r="K202"/>
      <c r="L202"/>
    </row>
    <row r="203" spans="5:12" hidden="1" x14ac:dyDescent="0.3">
      <c r="E203"/>
      <c r="F203"/>
      <c r="G203"/>
      <c r="H203"/>
      <c r="I203"/>
      <c r="J203"/>
      <c r="K203"/>
      <c r="L203"/>
    </row>
    <row r="204" spans="5:12" hidden="1" x14ac:dyDescent="0.3">
      <c r="E204"/>
      <c r="F204"/>
      <c r="G204"/>
      <c r="H204"/>
      <c r="I204"/>
      <c r="J204"/>
      <c r="K204"/>
      <c r="L204"/>
    </row>
    <row r="205" spans="5:12" hidden="1" x14ac:dyDescent="0.3">
      <c r="E205"/>
      <c r="F205"/>
      <c r="G205"/>
      <c r="H205"/>
      <c r="I205"/>
      <c r="J205"/>
      <c r="K205"/>
      <c r="L205"/>
    </row>
    <row r="206" spans="5:12" hidden="1" x14ac:dyDescent="0.3">
      <c r="E206"/>
      <c r="F206"/>
      <c r="G206"/>
      <c r="H206"/>
      <c r="I206"/>
      <c r="J206"/>
      <c r="K206"/>
      <c r="L206"/>
    </row>
    <row r="207" spans="5:12" hidden="1" x14ac:dyDescent="0.3">
      <c r="E207"/>
      <c r="F207"/>
      <c r="G207"/>
      <c r="H207"/>
      <c r="I207"/>
      <c r="J207"/>
      <c r="K207"/>
      <c r="L207"/>
    </row>
    <row r="208" spans="5:12" hidden="1" x14ac:dyDescent="0.3">
      <c r="E208"/>
      <c r="F208"/>
      <c r="G208"/>
      <c r="H208"/>
      <c r="I208"/>
      <c r="J208"/>
      <c r="K208"/>
      <c r="L208"/>
    </row>
    <row r="209" spans="5:12" hidden="1" x14ac:dyDescent="0.3">
      <c r="E209"/>
      <c r="F209"/>
      <c r="G209"/>
      <c r="H209"/>
      <c r="I209"/>
      <c r="J209"/>
      <c r="K209"/>
      <c r="L209"/>
    </row>
    <row r="210" spans="5:12" hidden="1" x14ac:dyDescent="0.3">
      <c r="E210"/>
      <c r="F210"/>
      <c r="G210"/>
      <c r="H210"/>
      <c r="I210"/>
      <c r="J210"/>
      <c r="K210"/>
      <c r="L210"/>
    </row>
    <row r="211" spans="5:12" hidden="1" x14ac:dyDescent="0.3">
      <c r="E211"/>
      <c r="F211"/>
      <c r="G211"/>
      <c r="H211"/>
      <c r="I211"/>
      <c r="J211"/>
      <c r="K211"/>
      <c r="L211"/>
    </row>
    <row r="212" spans="5:12" hidden="1" x14ac:dyDescent="0.3">
      <c r="E212"/>
      <c r="F212"/>
      <c r="G212"/>
      <c r="H212"/>
      <c r="I212"/>
      <c r="J212"/>
      <c r="K212"/>
      <c r="L212"/>
    </row>
    <row r="213" spans="5:12" hidden="1" x14ac:dyDescent="0.3">
      <c r="E213"/>
      <c r="F213"/>
      <c r="G213"/>
      <c r="H213"/>
      <c r="I213"/>
      <c r="J213"/>
      <c r="K213"/>
      <c r="L213"/>
    </row>
    <row r="214" spans="5:12" hidden="1" x14ac:dyDescent="0.3">
      <c r="E214"/>
      <c r="F214"/>
      <c r="G214"/>
      <c r="H214"/>
      <c r="I214"/>
      <c r="J214"/>
      <c r="K214"/>
      <c r="L214"/>
    </row>
    <row r="215" spans="5:12" hidden="1" x14ac:dyDescent="0.3">
      <c r="E215"/>
      <c r="F215"/>
      <c r="G215"/>
      <c r="H215"/>
      <c r="I215"/>
      <c r="J215"/>
      <c r="K215"/>
      <c r="L215"/>
    </row>
    <row r="216" spans="5:12" hidden="1" x14ac:dyDescent="0.3">
      <c r="E216"/>
      <c r="F216"/>
      <c r="G216"/>
      <c r="H216"/>
      <c r="I216"/>
      <c r="J216"/>
      <c r="K216"/>
      <c r="L216"/>
    </row>
    <row r="217" spans="5:12" hidden="1" x14ac:dyDescent="0.3">
      <c r="E217"/>
      <c r="F217"/>
      <c r="G217"/>
      <c r="H217"/>
      <c r="I217"/>
      <c r="J217"/>
      <c r="K217"/>
      <c r="L217"/>
    </row>
    <row r="218" spans="5:12" hidden="1" x14ac:dyDescent="0.3">
      <c r="E218"/>
      <c r="F218"/>
      <c r="G218"/>
      <c r="H218"/>
      <c r="I218"/>
      <c r="J218"/>
      <c r="K218"/>
      <c r="L218"/>
    </row>
    <row r="219" spans="5:12" hidden="1" x14ac:dyDescent="0.3">
      <c r="E219"/>
      <c r="F219"/>
      <c r="G219"/>
      <c r="H219"/>
      <c r="I219"/>
      <c r="J219"/>
      <c r="K219"/>
      <c r="L219"/>
    </row>
    <row r="220" spans="5:12" hidden="1" x14ac:dyDescent="0.3">
      <c r="E220"/>
      <c r="F220"/>
      <c r="G220"/>
      <c r="H220"/>
      <c r="I220"/>
      <c r="J220"/>
      <c r="K220"/>
      <c r="L220"/>
    </row>
    <row r="221" spans="5:12" hidden="1" x14ac:dyDescent="0.3">
      <c r="E221"/>
      <c r="F221"/>
      <c r="G221"/>
      <c r="H221"/>
      <c r="I221"/>
      <c r="J221"/>
      <c r="K221"/>
      <c r="L221"/>
    </row>
    <row r="222" spans="5:12" hidden="1" x14ac:dyDescent="0.3">
      <c r="E222"/>
      <c r="F222"/>
      <c r="G222"/>
      <c r="H222"/>
      <c r="I222"/>
      <c r="J222"/>
      <c r="K222"/>
      <c r="L222"/>
    </row>
    <row r="223" spans="5:12" hidden="1" x14ac:dyDescent="0.3">
      <c r="E223"/>
      <c r="F223"/>
      <c r="G223"/>
      <c r="H223"/>
      <c r="I223"/>
      <c r="J223"/>
      <c r="K223"/>
      <c r="L223"/>
    </row>
    <row r="224" spans="5:12" hidden="1" x14ac:dyDescent="0.3">
      <c r="E224"/>
      <c r="F224"/>
      <c r="G224"/>
      <c r="H224"/>
      <c r="I224"/>
      <c r="J224"/>
      <c r="K224"/>
      <c r="L224"/>
    </row>
    <row r="225" spans="5:12" hidden="1" x14ac:dyDescent="0.3">
      <c r="E225"/>
      <c r="F225"/>
      <c r="G225"/>
      <c r="H225"/>
      <c r="I225"/>
      <c r="J225"/>
      <c r="K225"/>
      <c r="L225"/>
    </row>
    <row r="226" spans="5:12" hidden="1" x14ac:dyDescent="0.3">
      <c r="E226"/>
      <c r="F226"/>
      <c r="G226"/>
      <c r="H226"/>
      <c r="I226"/>
      <c r="J226"/>
      <c r="K226"/>
      <c r="L226"/>
    </row>
    <row r="227" spans="5:12" hidden="1" x14ac:dyDescent="0.3">
      <c r="E227"/>
      <c r="F227"/>
      <c r="G227"/>
      <c r="H227"/>
      <c r="I227"/>
      <c r="J227"/>
      <c r="K227"/>
      <c r="L227"/>
    </row>
    <row r="228" spans="5:12" hidden="1" x14ac:dyDescent="0.3">
      <c r="E228"/>
      <c r="F228"/>
      <c r="G228"/>
      <c r="H228"/>
      <c r="I228"/>
      <c r="J228"/>
      <c r="K228"/>
      <c r="L228"/>
    </row>
    <row r="229" spans="5:12" hidden="1" x14ac:dyDescent="0.3">
      <c r="E229"/>
      <c r="F229"/>
      <c r="G229"/>
      <c r="H229"/>
      <c r="I229"/>
      <c r="J229"/>
      <c r="K229"/>
      <c r="L229"/>
    </row>
    <row r="230" spans="5:12" hidden="1" x14ac:dyDescent="0.3">
      <c r="E230"/>
      <c r="F230"/>
      <c r="G230"/>
      <c r="H230"/>
      <c r="I230"/>
      <c r="J230"/>
      <c r="K230"/>
      <c r="L230"/>
    </row>
    <row r="231" spans="5:12" hidden="1" x14ac:dyDescent="0.3">
      <c r="E231"/>
      <c r="F231"/>
      <c r="G231"/>
      <c r="H231"/>
      <c r="I231"/>
      <c r="J231"/>
      <c r="K231"/>
      <c r="L231"/>
    </row>
    <row r="232" spans="5:12" hidden="1" x14ac:dyDescent="0.3">
      <c r="E232"/>
      <c r="F232"/>
      <c r="G232"/>
      <c r="H232"/>
      <c r="I232"/>
      <c r="J232"/>
      <c r="K232"/>
      <c r="L232"/>
    </row>
  </sheetData>
  <mergeCells count="61">
    <mergeCell ref="F145:G145"/>
    <mergeCell ref="F141:G141"/>
    <mergeCell ref="F142:G142"/>
    <mergeCell ref="F143:G143"/>
    <mergeCell ref="F144:G144"/>
    <mergeCell ref="F135:G135"/>
    <mergeCell ref="F136:G136"/>
    <mergeCell ref="F137:G137"/>
    <mergeCell ref="E83:G83"/>
    <mergeCell ref="E62:G62"/>
    <mergeCell ref="E68:G68"/>
    <mergeCell ref="F107:G107"/>
    <mergeCell ref="E108:G108"/>
    <mergeCell ref="F97:G97"/>
    <mergeCell ref="E98:G98"/>
    <mergeCell ref="F138:G138"/>
    <mergeCell ref="F139:G139"/>
    <mergeCell ref="F140:G140"/>
    <mergeCell ref="A1:L1"/>
    <mergeCell ref="F118:G118"/>
    <mergeCell ref="E119:G119"/>
    <mergeCell ref="F132:G132"/>
    <mergeCell ref="F133:G133"/>
    <mergeCell ref="F134:G134"/>
    <mergeCell ref="F29:G29"/>
    <mergeCell ref="E30:G30"/>
    <mergeCell ref="E31:G31"/>
    <mergeCell ref="F11:G11"/>
    <mergeCell ref="E12:G12"/>
    <mergeCell ref="F6:G6"/>
    <mergeCell ref="E7:G7"/>
    <mergeCell ref="F21:G21"/>
    <mergeCell ref="E22:G22"/>
    <mergeCell ref="F16:G16"/>
    <mergeCell ref="E17:G17"/>
    <mergeCell ref="F67:G67"/>
    <mergeCell ref="E60:G60"/>
    <mergeCell ref="E50:G50"/>
    <mergeCell ref="F48:G48"/>
    <mergeCell ref="E49:G49"/>
    <mergeCell ref="F35:G35"/>
    <mergeCell ref="E36:G36"/>
    <mergeCell ref="E52:G52"/>
    <mergeCell ref="E44:G44"/>
    <mergeCell ref="F42:G42"/>
    <mergeCell ref="E43:G43"/>
    <mergeCell ref="E75:G75"/>
    <mergeCell ref="E81:G81"/>
    <mergeCell ref="F79:G79"/>
    <mergeCell ref="E80:G80"/>
    <mergeCell ref="F58:G58"/>
    <mergeCell ref="E59:G59"/>
    <mergeCell ref="F73:G73"/>
    <mergeCell ref="E74:G74"/>
    <mergeCell ref="E69:G69"/>
    <mergeCell ref="F113:G113"/>
    <mergeCell ref="E114:G114"/>
    <mergeCell ref="F92:G92"/>
    <mergeCell ref="E93:G93"/>
    <mergeCell ref="F102:G102"/>
    <mergeCell ref="E103:G103"/>
  </mergeCells>
  <conditionalFormatting sqref="K113">
    <cfRule type="expression" dxfId="68" priority="60" stopIfTrue="1">
      <formula>AND(ISNUMBER(K113),K113&lt;&gt;0)</formula>
    </cfRule>
  </conditionalFormatting>
  <conditionalFormatting sqref="K107">
    <cfRule type="expression" dxfId="67" priority="61" stopIfTrue="1">
      <formula>AND(ISNUMBER(K107),K107&lt;&gt;0)</formula>
    </cfRule>
  </conditionalFormatting>
  <conditionalFormatting sqref="K102">
    <cfRule type="expression" dxfId="66" priority="62" stopIfTrue="1">
      <formula>AND(ISNUMBER(K102),K102&lt;&gt;0)</formula>
    </cfRule>
  </conditionalFormatting>
  <conditionalFormatting sqref="K97">
    <cfRule type="expression" dxfId="65" priority="63" stopIfTrue="1">
      <formula>AND(ISNUMBER(K97),K97&lt;&gt;0)</formula>
    </cfRule>
  </conditionalFormatting>
  <conditionalFormatting sqref="K92">
    <cfRule type="expression" dxfId="64" priority="64" stopIfTrue="1">
      <formula>AND(ISNUMBER(K92),K92&lt;&gt;0)</formula>
    </cfRule>
  </conditionalFormatting>
  <conditionalFormatting sqref="K82">
    <cfRule type="expression" dxfId="63" priority="65" stopIfTrue="1">
      <formula>AND(ISNUMBER(K82),K82&lt;&gt;0)</formula>
    </cfRule>
  </conditionalFormatting>
  <conditionalFormatting sqref="K61">
    <cfRule type="expression" dxfId="62" priority="66" stopIfTrue="1">
      <formula>AND(ISNUMBER(K61),K61&lt;&gt;0)</formula>
    </cfRule>
  </conditionalFormatting>
  <conditionalFormatting sqref="K51">
    <cfRule type="expression" dxfId="61" priority="67" stopIfTrue="1">
      <formula>AND(ISNUMBER(K51),K51&lt;&gt;0)</formula>
    </cfRule>
  </conditionalFormatting>
  <conditionalFormatting sqref="K35">
    <cfRule type="expression" dxfId="60" priority="68" stopIfTrue="1">
      <formula>AND(ISNUMBER(K35),K35&lt;&gt;0)</formula>
    </cfRule>
  </conditionalFormatting>
  <conditionalFormatting sqref="K21">
    <cfRule type="expression" dxfId="59" priority="69" stopIfTrue="1">
      <formula>AND(ISNUMBER(K21),K21&lt;&gt;0)</formula>
    </cfRule>
  </conditionalFormatting>
  <conditionalFormatting sqref="K16">
    <cfRule type="expression" dxfId="58" priority="70" stopIfTrue="1">
      <formula>AND(ISNUMBER(K16),K16&lt;&gt;0)</formula>
    </cfRule>
  </conditionalFormatting>
  <conditionalFormatting sqref="K11">
    <cfRule type="expression" dxfId="57" priority="71" stopIfTrue="1">
      <formula>AND(ISNUMBER(K11),K11&lt;&gt;0)</formula>
    </cfRule>
  </conditionalFormatting>
  <conditionalFormatting sqref="K6">
    <cfRule type="expression" dxfId="56" priority="72" stopIfTrue="1">
      <formula>AND(ISNUMBER(K6),K6&lt;&gt;0)</formula>
    </cfRule>
  </conditionalFormatting>
  <dataValidations count="7">
    <dataValidation type="list" allowBlank="1" showInputMessage="1" showErrorMessage="1" sqref="J114 J108 J98 J83 J62" xr:uid="{A156C0CE-DBBB-4F7D-8A0C-5503892B6D35}">
      <formula1>"Labour Rate,Through Rate,Material Rate"</formula1>
    </dataValidation>
    <dataValidation type="list" allowBlank="1" showInputMessage="1" showErrorMessage="1" sqref="J103" xr:uid="{3997E8A4-1AD1-4DC0-9225-68E90C2E0345}">
      <formula1>"Through Rate,Material Rate"</formula1>
    </dataValidation>
    <dataValidation type="list" allowBlank="1" showInputMessage="1" showErrorMessage="1" sqref="J93 J52 J36" xr:uid="{7397B067-0592-4E0F-B866-95E5CBB5B8D6}">
      <formula1>"Labour Rate Amnd,Labour Rate,Through Rate Amnd,Through Rate,Material Rate Amnd,Material Rate"</formula1>
    </dataValidation>
    <dataValidation type="list" allowBlank="1" showInputMessage="1" showErrorMessage="1" sqref="J22" xr:uid="{5252A3D5-677A-46D6-873F-3319CD99F21B}">
      <formula1>"Beyond 5km up to 10km per KM,1km,2km,3km,4km,5km,Beyond 10km up to 20km per KM,Beyond 20km per adl. KM"</formula1>
    </dataValidation>
    <dataValidation type="list" allowBlank="1" showInputMessage="1" showErrorMessage="1" sqref="J17" xr:uid="{A4C70206-B577-465E-AEA5-A593026BB384}">
      <formula1>"5km,1km,2km,3km,4km,Beyond 5km up to 10km per KM,Beyond 10km up to 20km per KM,Beyond 20km per adl. KM"</formula1>
    </dataValidation>
    <dataValidation type="list" allowBlank="1" showInputMessage="1" showErrorMessage="1" sqref="J12" xr:uid="{1AA411A4-8DD0-4BE2-98D3-CB1E2059CBF9}">
      <formula1>"Rate"</formula1>
    </dataValidation>
    <dataValidation type="list" allowBlank="1" showInputMessage="1" showErrorMessage="1" sqref="J7" xr:uid="{2E15A4B0-FDE1-4435-87AD-196CA5C964A7}">
      <formula1>"Through Rate,Labour Rate,Machinery Rate"</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4DD45-ECA8-4466-8113-B42D78857B6B}">
  <sheetPr>
    <tabColor rgb="FFFFFF00"/>
  </sheetPr>
  <dimension ref="A1:R18"/>
  <sheetViews>
    <sheetView workbookViewId="0">
      <selection activeCell="J23" sqref="J23"/>
    </sheetView>
  </sheetViews>
  <sheetFormatPr defaultRowHeight="14.4" x14ac:dyDescent="0.3"/>
  <cols>
    <col min="1" max="1" width="7.6640625" bestFit="1" customWidth="1"/>
    <col min="2" max="2" width="20.33203125" bestFit="1" customWidth="1"/>
    <col min="3" max="3" width="9.109375" bestFit="1" customWidth="1"/>
    <col min="4" max="4" width="9" bestFit="1" customWidth="1"/>
    <col min="5" max="5" width="9.21875" bestFit="1" customWidth="1"/>
    <col min="6" max="6" width="12.33203125" bestFit="1" customWidth="1"/>
    <col min="7" max="7" width="2.77734375" customWidth="1"/>
    <col min="8" max="8" width="9.5546875" bestFit="1" customWidth="1"/>
    <col min="9" max="9" width="12.21875" bestFit="1" customWidth="1"/>
    <col min="10" max="12" width="12.77734375" customWidth="1"/>
    <col min="13" max="13" width="9.21875" bestFit="1" customWidth="1"/>
    <col min="14" max="14" width="12.33203125" bestFit="1" customWidth="1"/>
    <col min="15" max="15" width="2.77734375" customWidth="1"/>
    <col min="16" max="17" width="12.77734375" customWidth="1"/>
    <col min="18" max="18" width="10.6640625" bestFit="1" customWidth="1"/>
  </cols>
  <sheetData>
    <row r="1" spans="1:18" x14ac:dyDescent="0.3">
      <c r="A1" s="318" t="s">
        <v>194</v>
      </c>
      <c r="B1" s="318"/>
      <c r="C1" s="318"/>
      <c r="D1" s="318"/>
      <c r="E1" s="318"/>
      <c r="F1" s="318"/>
      <c r="H1" s="318" t="s">
        <v>201</v>
      </c>
      <c r="I1" s="318"/>
      <c r="J1" s="318"/>
      <c r="K1" s="318"/>
      <c r="L1" s="318"/>
      <c r="M1" s="318"/>
      <c r="N1" s="318"/>
      <c r="P1" s="318" t="s">
        <v>205</v>
      </c>
      <c r="Q1" s="318"/>
      <c r="R1" s="318"/>
    </row>
    <row r="2" spans="1:18" ht="28.8" x14ac:dyDescent="0.3">
      <c r="A2" s="323" t="s">
        <v>103</v>
      </c>
      <c r="B2" s="324" t="s">
        <v>104</v>
      </c>
      <c r="C2" s="324" t="s">
        <v>105</v>
      </c>
      <c r="D2" s="324" t="s">
        <v>80</v>
      </c>
      <c r="E2" s="324" t="s">
        <v>71</v>
      </c>
      <c r="F2" s="325" t="s">
        <v>82</v>
      </c>
      <c r="G2" s="227"/>
      <c r="H2" s="324" t="s">
        <v>202</v>
      </c>
      <c r="I2" s="324" t="s">
        <v>104</v>
      </c>
      <c r="J2" s="324" t="s">
        <v>203</v>
      </c>
      <c r="K2" s="324" t="s">
        <v>204</v>
      </c>
      <c r="L2" s="324" t="s">
        <v>195</v>
      </c>
      <c r="M2" s="324" t="s">
        <v>71</v>
      </c>
      <c r="N2" s="324" t="s">
        <v>82</v>
      </c>
      <c r="O2" s="227"/>
      <c r="P2" s="324" t="s">
        <v>206</v>
      </c>
      <c r="Q2" s="324" t="s">
        <v>207</v>
      </c>
      <c r="R2" s="324" t="s">
        <v>208</v>
      </c>
    </row>
    <row r="3" spans="1:18" x14ac:dyDescent="0.3">
      <c r="A3" s="231" t="s">
        <v>149</v>
      </c>
      <c r="B3" s="228" t="s">
        <v>179</v>
      </c>
      <c r="C3" s="319">
        <f>ROUND(62.025,3)</f>
        <v>62.024999999999999</v>
      </c>
      <c r="D3" s="229" t="s">
        <v>28</v>
      </c>
      <c r="E3" s="229">
        <v>83</v>
      </c>
      <c r="F3" s="320">
        <f>ROUND(C3*E3,0)</f>
        <v>5148</v>
      </c>
      <c r="I3" s="227"/>
      <c r="P3" s="229">
        <f t="shared" ref="P3:P17" si="0">IF(L3&lt;&gt;"",L3-C3,0)</f>
        <v>0</v>
      </c>
      <c r="Q3" s="230">
        <f t="shared" ref="Q3:Q17" si="1">IF(AND(N3&lt;&gt;"",R3&lt;&gt;""),ROUND(N3-F3,0),0)</f>
        <v>0</v>
      </c>
      <c r="R3" s="229" t="str">
        <f t="shared" ref="R3:R17" si="2">IF(AND(LEN(B3)&gt;0,LEN(I3)&gt;0,B3=I3),IF(P3&lt;0,"Increase Qty",IF(P3&gt;0,"Decrease Qty","")),IF(AND(LEN(B3)&gt;0,LEN(I3)=0),"Add Item",IF(AND(LEN(B3)=0,LEN(I3)&gt;0, K3=0),"Remove Item",IF(P3&gt;0,"Decrease Qty",""))))</f>
        <v>Add Item</v>
      </c>
    </row>
    <row r="4" spans="1:18" x14ac:dyDescent="0.3">
      <c r="A4" s="231" t="s">
        <v>150</v>
      </c>
      <c r="B4" s="228" t="s">
        <v>180</v>
      </c>
      <c r="C4" s="319">
        <f>ROUND(4.248,3)</f>
        <v>4.2480000000000002</v>
      </c>
      <c r="D4" s="229" t="s">
        <v>28</v>
      </c>
      <c r="E4" s="229">
        <v>18</v>
      </c>
      <c r="F4" s="320">
        <f>ROUND(C4*E4,0)</f>
        <v>76</v>
      </c>
      <c r="I4" s="227"/>
      <c r="P4" s="229">
        <f>IF(L4&lt;&gt;"",L4-C4,0)</f>
        <v>0</v>
      </c>
      <c r="Q4" s="230">
        <f>IF(AND(N4&lt;&gt;"",R4&lt;&gt;""),ROUND(N4-F4,0),0)</f>
        <v>0</v>
      </c>
      <c r="R4" s="229" t="str">
        <f>IF(AND(LEN(B4)&gt;0,LEN(I4)&gt;0,B4=I4),IF(P4&lt;0,"Increase Qty",IF(P4&gt;0,"Decrease Qty","")),IF(AND(LEN(B4)&gt;0,LEN(I4)=0),"Add Item",IF(AND(LEN(B4)=0,LEN(I4)&gt;0, K4=0),"Remove Item",IF(P4&gt;0,"Decrease Qty",""))))</f>
        <v>Add Item</v>
      </c>
    </row>
    <row r="5" spans="1:18" x14ac:dyDescent="0.3">
      <c r="A5" s="231" t="s">
        <v>152</v>
      </c>
      <c r="B5" s="228" t="s">
        <v>181</v>
      </c>
      <c r="C5" s="319">
        <f>ROUND(4.248,3)</f>
        <v>4.2480000000000002</v>
      </c>
      <c r="D5" s="229" t="s">
        <v>28</v>
      </c>
      <c r="E5" s="229">
        <v>83</v>
      </c>
      <c r="F5" s="320">
        <f>ROUND(C5*E5,0)</f>
        <v>353</v>
      </c>
      <c r="I5" s="227"/>
      <c r="P5" s="229">
        <f>IF(L5&lt;&gt;"",L5-C5,0)</f>
        <v>0</v>
      </c>
      <c r="Q5" s="230">
        <f>IF(AND(N5&lt;&gt;"",R5&lt;&gt;""),ROUND(N5-F5,0),0)</f>
        <v>0</v>
      </c>
      <c r="R5" s="229" t="str">
        <f>IF(AND(LEN(B5)&gt;0,LEN(I5)&gt;0,B5=I5),IF(P5&lt;0,"Increase Qty",IF(P5&gt;0,"Decrease Qty","")),IF(AND(LEN(B5)&gt;0,LEN(I5)=0),"Add Item",IF(AND(LEN(B5)=0,LEN(I5)&gt;0, K5=0),"Remove Item",IF(P5&gt;0,"Decrease Qty",""))))</f>
        <v>Add Item</v>
      </c>
    </row>
    <row r="6" spans="1:18" x14ac:dyDescent="0.3">
      <c r="A6" s="231" t="s">
        <v>153</v>
      </c>
      <c r="B6" s="228" t="s">
        <v>182</v>
      </c>
      <c r="C6" s="319">
        <f>ROUND(12.743,3)</f>
        <v>12.743</v>
      </c>
      <c r="D6" s="229" t="s">
        <v>28</v>
      </c>
      <c r="E6" s="229">
        <v>6</v>
      </c>
      <c r="F6" s="320">
        <f>ROUND(C6*E6,0)</f>
        <v>76</v>
      </c>
      <c r="I6" s="227"/>
      <c r="P6" s="229">
        <f>IF(L6&lt;&gt;"",L6-C6,0)</f>
        <v>0</v>
      </c>
      <c r="Q6" s="230">
        <f>IF(AND(N6&lt;&gt;"",R6&lt;&gt;""),ROUND(N6-F6,0),0)</f>
        <v>0</v>
      </c>
      <c r="R6" s="229" t="str">
        <f>IF(AND(LEN(B6)&gt;0,LEN(I6)&gt;0,B6=I6),IF(P6&lt;0,"Increase Qty",IF(P6&gt;0,"Decrease Qty","")),IF(AND(LEN(B6)&gt;0,LEN(I6)=0),"Add Item",IF(AND(LEN(B6)=0,LEN(I6)&gt;0, K6=0),"Remove Item",IF(P6&gt;0,"Decrease Qty",""))))</f>
        <v>Add Item</v>
      </c>
    </row>
    <row r="7" spans="1:18" x14ac:dyDescent="0.3">
      <c r="A7" s="231" t="s">
        <v>154</v>
      </c>
      <c r="B7" s="228" t="s">
        <v>183</v>
      </c>
      <c r="C7" s="319">
        <f>ROUND(3.3125,3)</f>
        <v>3.3130000000000002</v>
      </c>
      <c r="D7" s="229"/>
      <c r="E7" s="229">
        <v>0</v>
      </c>
      <c r="F7" s="320">
        <f>ROUND(C7*E7,0)</f>
        <v>0</v>
      </c>
      <c r="I7" s="227"/>
      <c r="P7" s="229">
        <f>IF(L7&lt;&gt;"",L7-C7,0)</f>
        <v>0</v>
      </c>
      <c r="Q7" s="230">
        <f>IF(AND(N7&lt;&gt;"",R7&lt;&gt;""),ROUND(N7-F7,0),0)</f>
        <v>0</v>
      </c>
      <c r="R7" s="229" t="str">
        <f>IF(AND(LEN(B7)&gt;0,LEN(I7)&gt;0,B7=I7),IF(P7&lt;0,"Increase Qty",IF(P7&gt;0,"Decrease Qty","")),IF(AND(LEN(B7)&gt;0,LEN(I7)=0),"Add Item",IF(AND(LEN(B7)=0,LEN(I7)&gt;0, K7=0),"Remove Item",IF(P7&gt;0,"Decrease Qty",""))))</f>
        <v>Add Item</v>
      </c>
    </row>
    <row r="8" spans="1:18" x14ac:dyDescent="0.3">
      <c r="A8" s="231" t="s">
        <v>156</v>
      </c>
      <c r="B8" s="228" t="s">
        <v>184</v>
      </c>
      <c r="C8" s="319">
        <f>ROUND(40,3)</f>
        <v>40</v>
      </c>
      <c r="D8" s="229" t="s">
        <v>62</v>
      </c>
      <c r="E8" s="229">
        <v>6</v>
      </c>
      <c r="F8" s="320">
        <f>ROUND(C8*E8,0)</f>
        <v>240</v>
      </c>
      <c r="I8" s="227"/>
      <c r="P8" s="229">
        <f>IF(L8&lt;&gt;"",L8-C8,0)</f>
        <v>0</v>
      </c>
      <c r="Q8" s="230">
        <f>IF(AND(N8&lt;&gt;"",R8&lt;&gt;""),ROUND(N8-F8,0),0)</f>
        <v>0</v>
      </c>
      <c r="R8" s="229" t="str">
        <f>IF(AND(LEN(B8)&gt;0,LEN(I8)&gt;0,B8=I8),IF(P8&lt;0,"Increase Qty",IF(P8&gt;0,"Decrease Qty","")),IF(AND(LEN(B8)&gt;0,LEN(I8)=0),"Add Item",IF(AND(LEN(B8)=0,LEN(I8)&gt;0, K8=0),"Remove Item",IF(P8&gt;0,"Decrease Qty",""))))</f>
        <v>Add Item</v>
      </c>
    </row>
    <row r="9" spans="1:18" x14ac:dyDescent="0.3">
      <c r="A9" s="231" t="s">
        <v>158</v>
      </c>
      <c r="B9" s="228" t="s">
        <v>185</v>
      </c>
      <c r="C9" s="319">
        <f>ROUND(143.294,3)</f>
        <v>143.29400000000001</v>
      </c>
      <c r="D9" s="229" t="s">
        <v>62</v>
      </c>
      <c r="E9" s="229">
        <v>7</v>
      </c>
      <c r="F9" s="320">
        <f>ROUND(C9*E9,0)</f>
        <v>1003</v>
      </c>
      <c r="I9" s="227"/>
      <c r="P9" s="229">
        <f>IF(L9&lt;&gt;"",L9-C9,0)</f>
        <v>0</v>
      </c>
      <c r="Q9" s="230">
        <f>IF(AND(N9&lt;&gt;"",R9&lt;&gt;""),ROUND(N9-F9,0),0)</f>
        <v>0</v>
      </c>
      <c r="R9" s="229" t="str">
        <f>IF(AND(LEN(B9)&gt;0,LEN(I9)&gt;0,B9=I9),IF(P9&lt;0,"Increase Qty",IF(P9&gt;0,"Decrease Qty","")),IF(AND(LEN(B9)&gt;0,LEN(I9)=0),"Add Item",IF(AND(LEN(B9)=0,LEN(I9)&gt;0, K9=0),"Remove Item",IF(P9&gt;0,"Decrease Qty",""))))</f>
        <v>Add Item</v>
      </c>
    </row>
    <row r="10" spans="1:18" x14ac:dyDescent="0.3">
      <c r="A10" s="231" t="s">
        <v>160</v>
      </c>
      <c r="B10" s="228" t="s">
        <v>186</v>
      </c>
      <c r="C10" s="319">
        <f>ROUND(50.998,3)</f>
        <v>50.997999999999998</v>
      </c>
      <c r="D10" s="229" t="s">
        <v>62</v>
      </c>
      <c r="E10" s="229">
        <v>7</v>
      </c>
      <c r="F10" s="320">
        <f>ROUND(C10*E10,0)</f>
        <v>357</v>
      </c>
      <c r="I10" s="227"/>
      <c r="P10" s="229">
        <f>IF(L10&lt;&gt;"",L10-C10,0)</f>
        <v>0</v>
      </c>
      <c r="Q10" s="230">
        <f>IF(AND(N10&lt;&gt;"",R10&lt;&gt;""),ROUND(N10-F10,0),0)</f>
        <v>0</v>
      </c>
      <c r="R10" s="229" t="str">
        <f>IF(AND(LEN(B10)&gt;0,LEN(I10)&gt;0,B10=I10),IF(P10&lt;0,"Increase Qty",IF(P10&gt;0,"Decrease Qty","")),IF(AND(LEN(B10)&gt;0,LEN(I10)=0),"Add Item",IF(AND(LEN(B10)=0,LEN(I10)&gt;0, K10=0),"Remove Item",IF(P10&gt;0,"Decrease Qty",""))))</f>
        <v>Add Item</v>
      </c>
    </row>
    <row r="11" spans="1:18" x14ac:dyDescent="0.3">
      <c r="A11" s="231" t="s">
        <v>162</v>
      </c>
      <c r="B11" s="228" t="s">
        <v>187</v>
      </c>
      <c r="C11" s="319">
        <f>ROUND(2167.833,3)</f>
        <v>2167.8330000000001</v>
      </c>
      <c r="D11" s="229" t="s">
        <v>62</v>
      </c>
      <c r="E11" s="229">
        <v>20</v>
      </c>
      <c r="F11" s="320">
        <f>ROUND(C11*E11,0)</f>
        <v>43357</v>
      </c>
      <c r="I11" s="227"/>
      <c r="P11" s="229">
        <f>IF(L11&lt;&gt;"",L11-C11,0)</f>
        <v>0</v>
      </c>
      <c r="Q11" s="230">
        <f>IF(AND(N11&lt;&gt;"",R11&lt;&gt;""),ROUND(N11-F11,0),0)</f>
        <v>0</v>
      </c>
      <c r="R11" s="229" t="str">
        <f>IF(AND(LEN(B11)&gt;0,LEN(I11)&gt;0,B11=I11),IF(P11&lt;0,"Increase Qty",IF(P11&gt;0,"Decrease Qty","")),IF(AND(LEN(B11)&gt;0,LEN(I11)=0),"Add Item",IF(AND(LEN(B11)=0,LEN(I11)&gt;0, K11=0),"Remove Item",IF(P11&gt;0,"Decrease Qty",""))))</f>
        <v>Add Item</v>
      </c>
    </row>
    <row r="12" spans="1:18" x14ac:dyDescent="0.3">
      <c r="A12" s="231" t="s">
        <v>164</v>
      </c>
      <c r="B12" s="228" t="s">
        <v>188</v>
      </c>
      <c r="C12" s="319">
        <f>ROUND(6.578,3)</f>
        <v>6.5780000000000003</v>
      </c>
      <c r="D12" s="229" t="s">
        <v>28</v>
      </c>
      <c r="E12" s="229">
        <v>1099</v>
      </c>
      <c r="F12" s="320">
        <f>ROUND(C12*E12,0)</f>
        <v>7229</v>
      </c>
      <c r="I12" s="227"/>
      <c r="P12" s="229">
        <f>IF(L12&lt;&gt;"",L12-C12,0)</f>
        <v>0</v>
      </c>
      <c r="Q12" s="230">
        <f>IF(AND(N12&lt;&gt;"",R12&lt;&gt;""),ROUND(N12-F12,0),0)</f>
        <v>0</v>
      </c>
      <c r="R12" s="229" t="str">
        <f>IF(AND(LEN(B12)&gt;0,LEN(I12)&gt;0,B12=I12),IF(P12&lt;0,"Increase Qty",IF(P12&gt;0,"Decrease Qty","")),IF(AND(LEN(B12)&gt;0,LEN(I12)=0),"Add Item",IF(AND(LEN(B12)=0,LEN(I12)&gt;0, K12=0),"Remove Item",IF(P12&gt;0,"Decrease Qty",""))))</f>
        <v>Add Item</v>
      </c>
    </row>
    <row r="13" spans="1:18" x14ac:dyDescent="0.3">
      <c r="A13" s="231" t="s">
        <v>166</v>
      </c>
      <c r="B13" s="228" t="s">
        <v>189</v>
      </c>
      <c r="C13" s="319">
        <f>ROUND(1,3)</f>
        <v>1</v>
      </c>
      <c r="D13" s="229" t="s">
        <v>43</v>
      </c>
      <c r="E13" s="229">
        <v>104</v>
      </c>
      <c r="F13" s="320">
        <f>ROUND(C13*E13,0)</f>
        <v>104</v>
      </c>
      <c r="I13" s="227"/>
      <c r="P13" s="229">
        <f>IF(L13&lt;&gt;"",L13-C13,0)</f>
        <v>0</v>
      </c>
      <c r="Q13" s="230">
        <f>IF(AND(N13&lt;&gt;"",R13&lt;&gt;""),ROUND(N13-F13,0),0)</f>
        <v>0</v>
      </c>
      <c r="R13" s="229" t="str">
        <f>IF(AND(LEN(B13)&gt;0,LEN(I13)&gt;0,B13=I13),IF(P13&lt;0,"Increase Qty",IF(P13&gt;0,"Decrease Qty","")),IF(AND(LEN(B13)&gt;0,LEN(I13)=0),"Add Item",IF(AND(LEN(B13)=0,LEN(I13)&gt;0, K13=0),"Remove Item",IF(P13&gt;0,"Decrease Qty",""))))</f>
        <v>Add Item</v>
      </c>
    </row>
    <row r="14" spans="1:18" x14ac:dyDescent="0.3">
      <c r="A14" s="231" t="s">
        <v>168</v>
      </c>
      <c r="B14" s="228" t="s">
        <v>190</v>
      </c>
      <c r="C14" s="319">
        <f>ROUND(500,3)</f>
        <v>500</v>
      </c>
      <c r="D14" s="229" t="s">
        <v>56</v>
      </c>
      <c r="E14" s="229">
        <v>7</v>
      </c>
      <c r="F14" s="320">
        <f>ROUND(C14*E14,0)</f>
        <v>3500</v>
      </c>
      <c r="I14" s="227"/>
      <c r="P14" s="229">
        <f>IF(L14&lt;&gt;"",L14-C14,0)</f>
        <v>0</v>
      </c>
      <c r="Q14" s="230">
        <f>IF(AND(N14&lt;&gt;"",R14&lt;&gt;""),ROUND(N14-F14,0),0)</f>
        <v>0</v>
      </c>
      <c r="R14" s="229" t="str">
        <f>IF(AND(LEN(B14)&gt;0,LEN(I14)&gt;0,B14=I14),IF(P14&lt;0,"Increase Qty",IF(P14&gt;0,"Decrease Qty","")),IF(AND(LEN(B14)&gt;0,LEN(I14)=0),"Add Item",IF(AND(LEN(B14)=0,LEN(I14)&gt;0, K14=0),"Remove Item",IF(P14&gt;0,"Decrease Qty",""))))</f>
        <v>Add Item</v>
      </c>
    </row>
    <row r="15" spans="1:18" x14ac:dyDescent="0.3">
      <c r="A15" s="231" t="s">
        <v>169</v>
      </c>
      <c r="B15" s="228" t="s">
        <v>191</v>
      </c>
      <c r="C15" s="319">
        <f>ROUND(40,3)</f>
        <v>40</v>
      </c>
      <c r="D15" s="229" t="s">
        <v>46</v>
      </c>
      <c r="E15" s="229">
        <v>87</v>
      </c>
      <c r="F15" s="320">
        <f>ROUND(C15*E15,0)</f>
        <v>3480</v>
      </c>
      <c r="I15" s="227"/>
      <c r="P15" s="229">
        <f>IF(L15&lt;&gt;"",L15-C15,0)</f>
        <v>0</v>
      </c>
      <c r="Q15" s="230">
        <f>IF(AND(N15&lt;&gt;"",R15&lt;&gt;""),ROUND(N15-F15,0),0)</f>
        <v>0</v>
      </c>
      <c r="R15" s="229" t="str">
        <f>IF(AND(LEN(B15)&gt;0,LEN(I15)&gt;0,B15=I15),IF(P15&lt;0,"Increase Qty",IF(P15&gt;0,"Decrease Qty","")),IF(AND(LEN(B15)&gt;0,LEN(I15)=0),"Add Item",IF(AND(LEN(B15)=0,LEN(I15)&gt;0, K15=0),"Remove Item",IF(P15&gt;0,"Decrease Qty",""))))</f>
        <v>Add Item</v>
      </c>
    </row>
    <row r="16" spans="1:18" x14ac:dyDescent="0.3">
      <c r="A16" s="231" t="s">
        <v>171</v>
      </c>
      <c r="B16" s="228" t="s">
        <v>192</v>
      </c>
      <c r="C16" s="319">
        <f>ROUND(13.75,3)</f>
        <v>13.75</v>
      </c>
      <c r="D16" s="229" t="s">
        <v>15</v>
      </c>
      <c r="E16" s="229">
        <v>95</v>
      </c>
      <c r="F16" s="320">
        <f>ROUND(C16*E16,0)</f>
        <v>1306</v>
      </c>
      <c r="I16" s="227"/>
      <c r="P16" s="229">
        <f>IF(L16&lt;&gt;"",L16-C16,0)</f>
        <v>0</v>
      </c>
      <c r="Q16" s="230">
        <f>IF(AND(N16&lt;&gt;"",R16&lt;&gt;""),ROUND(N16-F16,0),0)</f>
        <v>0</v>
      </c>
      <c r="R16" s="229" t="str">
        <f>IF(AND(LEN(B16)&gt;0,LEN(I16)&gt;0,B16=I16),IF(P16&lt;0,"Increase Qty",IF(P16&gt;0,"Decrease Qty","")),IF(AND(LEN(B16)&gt;0,LEN(I16)=0),"Add Item",IF(AND(LEN(B16)=0,LEN(I16)&gt;0, K16=0),"Remove Item",IF(P16&gt;0,"Decrease Qty",""))))</f>
        <v>Add Item</v>
      </c>
    </row>
    <row r="17" spans="1:18" x14ac:dyDescent="0.3">
      <c r="A17" s="233" t="s">
        <v>173</v>
      </c>
      <c r="B17" s="234" t="s">
        <v>193</v>
      </c>
      <c r="C17" s="321">
        <f>ROUND(10,3)</f>
        <v>10</v>
      </c>
      <c r="D17" s="34"/>
      <c r="E17" s="34">
        <v>0</v>
      </c>
      <c r="F17" s="322">
        <f>ROUND(C17*E17,0)</f>
        <v>0</v>
      </c>
      <c r="I17" s="227"/>
      <c r="P17" s="229">
        <f>IF(L17&lt;&gt;"",L17-C17,0)</f>
        <v>0</v>
      </c>
      <c r="Q17" s="230">
        <f>IF(AND(N17&lt;&gt;"",R17&lt;&gt;""),ROUND(N17-F17,0),0)</f>
        <v>0</v>
      </c>
      <c r="R17" s="229" t="str">
        <f>IF(AND(LEN(B17)&gt;0,LEN(I17)&gt;0,B17=I17),IF(P17&lt;0,"Increase Qty",IF(P17&gt;0,"Decrease Qty","")),IF(AND(LEN(B17)&gt;0,LEN(I17)=0),"Add Item",IF(AND(LEN(B17)=0,LEN(I17)&gt;0, K17=0),"Remove Item",IF(P17&gt;0,"Decrease Qty",""))))</f>
        <v>Add Item</v>
      </c>
    </row>
    <row r="18" spans="1:18" x14ac:dyDescent="0.3">
      <c r="A18" s="36" t="s">
        <v>84</v>
      </c>
      <c r="B18" s="37"/>
      <c r="C18" s="321">
        <f>SUBTOTAL(109,SummaryTable_20260619_202325[Qty])</f>
        <v>3060.03</v>
      </c>
      <c r="D18" s="34"/>
      <c r="E18" s="34"/>
      <c r="F18" s="322">
        <f>SUBTOTAL(109,SummaryTable_20260619_202325[Amount])</f>
        <v>66229</v>
      </c>
      <c r="H18" t="s">
        <v>84</v>
      </c>
      <c r="J18">
        <f>SUBTOTAL(109,PortalTable_20260619_202325[DNIT Qty])</f>
        <v>0</v>
      </c>
      <c r="K18">
        <f>SUBTOTAL(109,PortalTable_20260619_202325[Previously Executed Qty])</f>
        <v>0</v>
      </c>
      <c r="L18">
        <f>SUBTOTAL(109,PortalTable_20260619_202325[Remaining DNIT Qty])</f>
        <v>0</v>
      </c>
      <c r="N18">
        <f>SUBTOTAL(109,PortalTable_20260619_202325[Amount])</f>
        <v>0</v>
      </c>
      <c r="P18">
        <f>SUBTOTAL(109,CompareTable_20260619_202325[Qty Variation])</f>
        <v>0</v>
      </c>
      <c r="Q18">
        <f>SUBTOTAL(109,CompareTable_20260619_202325[Amount Variation])</f>
        <v>0</v>
      </c>
      <c r="R18">
        <f>SUBTOTAL(103,CompareTable_20260619_202325[Status])</f>
        <v>15</v>
      </c>
    </row>
  </sheetData>
  <conditionalFormatting sqref="I3:I17">
    <cfRule type="expression" dxfId="21" priority="1" stopIfTrue="1">
      <formula>AND(LEN(I3)&gt;0,COUNTIF($B$3:$B$17,I3)=0)</formula>
    </cfRule>
  </conditionalFormatting>
  <conditionalFormatting sqref="B3:B17">
    <cfRule type="expression" dxfId="19" priority="2" stopIfTrue="1">
      <formula>AND(LEN(B3)&gt;0,COUNTIF($I$3:$I$17,B3)=0)</formula>
    </cfRule>
    <cfRule type="expression" dxfId="18" priority="4" stopIfTrue="1">
      <formula>AND(LEN(B3)&gt;0,COUNTIF($I$3:$I$17,B3)&gt;0)</formula>
    </cfRule>
  </conditionalFormatting>
  <conditionalFormatting sqref="I3:I17">
    <cfRule type="expression" dxfId="20" priority="3" stopIfTrue="1">
      <formula>AND(LEN(I3)&gt;0,COUNTIF($B$3:$B$17,I3)&gt;0)</formula>
    </cfRule>
  </conditionalFormatting>
  <conditionalFormatting sqref="P3:P17">
    <cfRule type="cellIs" dxfId="17" priority="5" stopIfTrue="1" operator="greaterThan">
      <formula>-0.0001</formula>
    </cfRule>
  </conditionalFormatting>
  <conditionalFormatting sqref="P3:P17">
    <cfRule type="cellIs" dxfId="16" priority="6" stopIfTrue="1" operator="between">
      <formula>-0.5</formula>
      <formula>-0.0001</formula>
    </cfRule>
  </conditionalFormatting>
  <conditionalFormatting sqref="P3:P17">
    <cfRule type="cellIs" dxfId="15" priority="7" stopIfTrue="1" operator="lessThan">
      <formula>-0.5</formula>
    </cfRule>
  </conditionalFormatting>
  <conditionalFormatting sqref="Q3:Q17">
    <cfRule type="cellIs" dxfId="14" priority="8" stopIfTrue="1" operator="between">
      <formula>-200</formula>
      <formula>100</formula>
    </cfRule>
  </conditionalFormatting>
  <conditionalFormatting sqref="Q3:Q17">
    <cfRule type="cellIs" dxfId="13" priority="9" stopIfTrue="1" operator="between">
      <formula>100</formula>
      <formula>200</formula>
    </cfRule>
  </conditionalFormatting>
  <conditionalFormatting sqref="Q3:Q17">
    <cfRule type="cellIs" dxfId="12" priority="10" stopIfTrue="1" operator="greaterThan">
      <formula>200</formula>
    </cfRule>
  </conditionalFormatting>
  <conditionalFormatting sqref="Q3:Q17">
    <cfRule type="cellIs" dxfId="11" priority="11" stopIfTrue="1" operator="between">
      <formula>-500</formula>
      <formula>-200</formula>
    </cfRule>
  </conditionalFormatting>
  <conditionalFormatting sqref="Q3:Q17">
    <cfRule type="cellIs" dxfId="10" priority="12" stopIfTrue="1" operator="lessThan">
      <formula>-500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9ED29-4811-44F0-9C27-35FEE6EE340C}">
  <sheetPr>
    <tabColor rgb="FFFFFF00"/>
  </sheetPr>
  <dimension ref="A1:U18"/>
  <sheetViews>
    <sheetView workbookViewId="0">
      <selection activeCell="B23" sqref="B23"/>
    </sheetView>
  </sheetViews>
  <sheetFormatPr defaultRowHeight="14.4" x14ac:dyDescent="0.3"/>
  <cols>
    <col min="1" max="1" width="7.6640625" bestFit="1" customWidth="1"/>
    <col min="2" max="2" width="20.33203125" bestFit="1" customWidth="1"/>
    <col min="3" max="3" width="9.109375" bestFit="1" customWidth="1"/>
    <col min="4" max="4" width="9" bestFit="1" customWidth="1"/>
    <col min="5" max="5" width="9.21875" bestFit="1" customWidth="1"/>
    <col min="6" max="6" width="12.33203125" bestFit="1" customWidth="1"/>
    <col min="7" max="7" width="2.77734375" customWidth="1"/>
    <col min="8" max="8" width="4.77734375" customWidth="1"/>
    <col min="9" max="9" width="20.33203125" bestFit="1" customWidth="1"/>
    <col min="10" max="11" width="9" bestFit="1" customWidth="1"/>
    <col min="12" max="12" width="9.21875" bestFit="1" customWidth="1"/>
    <col min="13" max="13" width="12.33203125" bestFit="1" customWidth="1"/>
    <col min="14" max="14" width="12.77734375" customWidth="1"/>
    <col min="15" max="15" width="2.77734375" customWidth="1"/>
    <col min="16" max="16" width="11.88671875" bestFit="1" customWidth="1"/>
    <col min="17" max="17" width="9.21875" bestFit="1" customWidth="1"/>
    <col min="18" max="18" width="12.33203125" bestFit="1" customWidth="1"/>
    <col min="19" max="19" width="13" bestFit="1" customWidth="1"/>
    <col min="20" max="20" width="20.44140625" bestFit="1" customWidth="1"/>
    <col min="21" max="21" width="26.44140625" bestFit="1" customWidth="1"/>
  </cols>
  <sheetData>
    <row r="1" spans="1:21" x14ac:dyDescent="0.3">
      <c r="A1" s="318" t="s">
        <v>194</v>
      </c>
      <c r="B1" s="318"/>
      <c r="C1" s="318"/>
      <c r="D1" s="318"/>
      <c r="E1" s="318"/>
      <c r="F1" s="318"/>
      <c r="H1" s="318" t="s">
        <v>201</v>
      </c>
      <c r="I1" s="318"/>
      <c r="J1" s="318"/>
      <c r="K1" s="318"/>
      <c r="L1" s="318"/>
      <c r="M1" s="318"/>
      <c r="N1" s="318"/>
      <c r="P1" s="318" t="s">
        <v>196</v>
      </c>
      <c r="Q1" s="318"/>
      <c r="R1" s="318"/>
      <c r="S1" s="318"/>
      <c r="T1" s="318"/>
      <c r="U1" s="318"/>
    </row>
    <row r="2" spans="1:21" ht="28.8" x14ac:dyDescent="0.3">
      <c r="A2" s="323" t="s">
        <v>103</v>
      </c>
      <c r="B2" s="324" t="s">
        <v>104</v>
      </c>
      <c r="C2" s="324" t="s">
        <v>105</v>
      </c>
      <c r="D2" s="324" t="s">
        <v>80</v>
      </c>
      <c r="E2" s="324" t="s">
        <v>71</v>
      </c>
      <c r="F2" s="325" t="s">
        <v>82</v>
      </c>
      <c r="G2" s="227"/>
      <c r="H2" s="324" t="s">
        <v>103</v>
      </c>
      <c r="I2" s="324" t="s">
        <v>104</v>
      </c>
      <c r="J2" s="324" t="s">
        <v>105</v>
      </c>
      <c r="K2" s="324" t="s">
        <v>80</v>
      </c>
      <c r="L2" s="324" t="s">
        <v>71</v>
      </c>
      <c r="M2" s="324" t="s">
        <v>82</v>
      </c>
      <c r="N2" s="324" t="s">
        <v>195</v>
      </c>
      <c r="O2" s="227"/>
      <c r="P2" s="324" t="s">
        <v>197</v>
      </c>
      <c r="Q2" s="324" t="s">
        <v>71</v>
      </c>
      <c r="R2" s="324" t="s">
        <v>82</v>
      </c>
      <c r="S2" s="324" t="s">
        <v>198</v>
      </c>
      <c r="T2" s="324" t="s">
        <v>199</v>
      </c>
      <c r="U2" s="324" t="s">
        <v>200</v>
      </c>
    </row>
    <row r="3" spans="1:21" x14ac:dyDescent="0.3">
      <c r="A3" s="231" t="s">
        <v>149</v>
      </c>
      <c r="B3" s="228" t="s">
        <v>179</v>
      </c>
      <c r="C3" s="319">
        <f>ROUND(62.025,3)</f>
        <v>62.024999999999999</v>
      </c>
      <c r="D3" s="229" t="s">
        <v>28</v>
      </c>
      <c r="E3" s="229">
        <v>83</v>
      </c>
      <c r="F3" s="320">
        <f>ROUND(C3*E3,0)</f>
        <v>5148</v>
      </c>
      <c r="I3" s="227"/>
      <c r="P3" s="229">
        <f t="shared" ref="P3:P17" si="0">ROUND(IF(J3&lt;&gt;"",C3-J3,0),2)</f>
        <v>0</v>
      </c>
      <c r="Q3" s="229">
        <f t="shared" ref="Q3:Q17" si="1">IF(L3&lt;&gt;"",E3-L3,0)</f>
        <v>0</v>
      </c>
      <c r="R3" s="230">
        <f t="shared" ref="R3:R17" si="2">IF(M3&lt;&gt;"",F3-M3,0)</f>
        <v>0</v>
      </c>
      <c r="S3" s="229">
        <f t="shared" ref="S3:S17" si="3">IF(N3&lt;&gt;"",N3-C3,0-C3)</f>
        <v>-62.024999999999999</v>
      </c>
      <c r="T3" s="229" t="str">
        <f t="shared" ref="T3:T17" si="4">IF(AND(LEN(B3 )&gt;0, LEN(I3 )&gt;0), IF(P3 = 0,"Matched",IF(P3 &lt;0,"Delete Extra Qty in Portal","Add Qty in Portal")),"")</f>
        <v/>
      </c>
      <c r="U3" s="229" t="str">
        <f t="shared" ref="U3:U17" si="5">IF(AND(LEN(B3)&gt;0,LEN(I3)&gt;0,B3=I3),IF(S3&lt;0,"DNIT Qty is less, Ask JE for increase qty",IF(S3&gt;0,"OK","")),IF(AND(LEN(B3)&gt;0,LEN(I3)=0),"Item not in DNIT, Ask JE to Add",IF(AND(LEN(B3)=0,LEN(I3)&gt;0),"Extra items in DNIT","")))</f>
        <v>Item not in DNIT, Ask JE to Add</v>
      </c>
    </row>
    <row r="4" spans="1:21" x14ac:dyDescent="0.3">
      <c r="A4" s="231" t="s">
        <v>150</v>
      </c>
      <c r="B4" s="228" t="s">
        <v>180</v>
      </c>
      <c r="C4" s="319">
        <f>ROUND(4.248,3)</f>
        <v>4.2480000000000002</v>
      </c>
      <c r="D4" s="229" t="s">
        <v>28</v>
      </c>
      <c r="E4" s="229">
        <v>18</v>
      </c>
      <c r="F4" s="320">
        <f>ROUND(C4*E4,0)</f>
        <v>76</v>
      </c>
      <c r="I4" s="227"/>
      <c r="P4" s="229">
        <f>ROUND(IF(J4&lt;&gt;"",C4-J4,0),2)</f>
        <v>0</v>
      </c>
      <c r="Q4" s="229">
        <f>IF(L4&lt;&gt;"",E4-L4,0)</f>
        <v>0</v>
      </c>
      <c r="R4" s="230">
        <f>IF(M4&lt;&gt;"",F4-M4,0)</f>
        <v>0</v>
      </c>
      <c r="S4" s="229">
        <f>IF(N4&lt;&gt;"",N4-C4,0-C4)</f>
        <v>-4.2480000000000002</v>
      </c>
      <c r="T4" s="229" t="str">
        <f>IF(AND(LEN(B4 )&gt;0, LEN(I4 )&gt;0), IF(P4 = 0,"Matched",IF(P4 &lt;0,"Delete Extra Qty in Portal","Add Qty in Portal")),"")</f>
        <v/>
      </c>
      <c r="U4" s="229" t="str">
        <f>IF(AND(LEN(B4)&gt;0,LEN(I4)&gt;0,B4=I4),IF(S4&lt;0,"DNIT Qty is less, Ask JE for increase qty",IF(S4&gt;0,"OK","")),IF(AND(LEN(B4)&gt;0,LEN(I4)=0),"Item not in DNIT, Ask JE to Add",IF(AND(LEN(B4)=0,LEN(I4)&gt;0),"Extra items in DNIT","")))</f>
        <v>Item not in DNIT, Ask JE to Add</v>
      </c>
    </row>
    <row r="5" spans="1:21" x14ac:dyDescent="0.3">
      <c r="A5" s="231" t="s">
        <v>152</v>
      </c>
      <c r="B5" s="228" t="s">
        <v>181</v>
      </c>
      <c r="C5" s="319">
        <f>ROUND(4.248,3)</f>
        <v>4.2480000000000002</v>
      </c>
      <c r="D5" s="229" t="s">
        <v>28</v>
      </c>
      <c r="E5" s="229">
        <v>83</v>
      </c>
      <c r="F5" s="320">
        <f>ROUND(C5*E5,0)</f>
        <v>353</v>
      </c>
      <c r="I5" s="227"/>
      <c r="P5" s="229">
        <f>ROUND(IF(J5&lt;&gt;"",C5-J5,0),2)</f>
        <v>0</v>
      </c>
      <c r="Q5" s="229">
        <f>IF(L5&lt;&gt;"",E5-L5,0)</f>
        <v>0</v>
      </c>
      <c r="R5" s="230">
        <f>IF(M5&lt;&gt;"",F5-M5,0)</f>
        <v>0</v>
      </c>
      <c r="S5" s="229">
        <f>IF(N5&lt;&gt;"",N5-C5,0-C5)</f>
        <v>-4.2480000000000002</v>
      </c>
      <c r="T5" s="229" t="str">
        <f>IF(AND(LEN(B5 )&gt;0, LEN(I5 )&gt;0), IF(P5 = 0,"Matched",IF(P5 &lt;0,"Delete Extra Qty in Portal","Add Qty in Portal")),"")</f>
        <v/>
      </c>
      <c r="U5" s="229" t="str">
        <f>IF(AND(LEN(B5)&gt;0,LEN(I5)&gt;0,B5=I5),IF(S5&lt;0,"DNIT Qty is less, Ask JE for increase qty",IF(S5&gt;0,"OK","")),IF(AND(LEN(B5)&gt;0,LEN(I5)=0),"Item not in DNIT, Ask JE to Add",IF(AND(LEN(B5)=0,LEN(I5)&gt;0),"Extra items in DNIT","")))</f>
        <v>Item not in DNIT, Ask JE to Add</v>
      </c>
    </row>
    <row r="6" spans="1:21" x14ac:dyDescent="0.3">
      <c r="A6" s="231" t="s">
        <v>153</v>
      </c>
      <c r="B6" s="228" t="s">
        <v>182</v>
      </c>
      <c r="C6" s="319">
        <f>ROUND(12.743,3)</f>
        <v>12.743</v>
      </c>
      <c r="D6" s="229" t="s">
        <v>28</v>
      </c>
      <c r="E6" s="229">
        <v>6</v>
      </c>
      <c r="F6" s="320">
        <f>ROUND(C6*E6,0)</f>
        <v>76</v>
      </c>
      <c r="I6" s="227"/>
      <c r="P6" s="229">
        <f>ROUND(IF(J6&lt;&gt;"",C6-J6,0),2)</f>
        <v>0</v>
      </c>
      <c r="Q6" s="229">
        <f>IF(L6&lt;&gt;"",E6-L6,0)</f>
        <v>0</v>
      </c>
      <c r="R6" s="230">
        <f>IF(M6&lt;&gt;"",F6-M6,0)</f>
        <v>0</v>
      </c>
      <c r="S6" s="229">
        <f>IF(N6&lt;&gt;"",N6-C6,0-C6)</f>
        <v>-12.743</v>
      </c>
      <c r="T6" s="229" t="str">
        <f>IF(AND(LEN(B6 )&gt;0, LEN(I6 )&gt;0), IF(P6 = 0,"Matched",IF(P6 &lt;0,"Delete Extra Qty in Portal","Add Qty in Portal")),"")</f>
        <v/>
      </c>
      <c r="U6" s="229" t="str">
        <f>IF(AND(LEN(B6)&gt;0,LEN(I6)&gt;0,B6=I6),IF(S6&lt;0,"DNIT Qty is less, Ask JE for increase qty",IF(S6&gt;0,"OK","")),IF(AND(LEN(B6)&gt;0,LEN(I6)=0),"Item not in DNIT, Ask JE to Add",IF(AND(LEN(B6)=0,LEN(I6)&gt;0),"Extra items in DNIT","")))</f>
        <v>Item not in DNIT, Ask JE to Add</v>
      </c>
    </row>
    <row r="7" spans="1:21" x14ac:dyDescent="0.3">
      <c r="A7" s="231" t="s">
        <v>154</v>
      </c>
      <c r="B7" s="228" t="s">
        <v>183</v>
      </c>
      <c r="C7" s="319">
        <f>ROUND(3.3125,3)</f>
        <v>3.3130000000000002</v>
      </c>
      <c r="D7" s="229"/>
      <c r="E7" s="229">
        <v>0</v>
      </c>
      <c r="F7" s="320">
        <f>ROUND(C7*E7,0)</f>
        <v>0</v>
      </c>
      <c r="I7" s="227"/>
      <c r="P7" s="229">
        <f>ROUND(IF(J7&lt;&gt;"",C7-J7,0),2)</f>
        <v>0</v>
      </c>
      <c r="Q7" s="229">
        <f>IF(L7&lt;&gt;"",E7-L7,0)</f>
        <v>0</v>
      </c>
      <c r="R7" s="230">
        <f>IF(M7&lt;&gt;"",F7-M7,0)</f>
        <v>0</v>
      </c>
      <c r="S7" s="229">
        <f>IF(N7&lt;&gt;"",N7-C7,0-C7)</f>
        <v>-3.3130000000000002</v>
      </c>
      <c r="T7" s="229" t="str">
        <f>IF(AND(LEN(B7 )&gt;0, LEN(I7 )&gt;0), IF(P7 = 0,"Matched",IF(P7 &lt;0,"Delete Extra Qty in Portal","Add Qty in Portal")),"")</f>
        <v/>
      </c>
      <c r="U7" s="229" t="str">
        <f>IF(AND(LEN(B7)&gt;0,LEN(I7)&gt;0,B7=I7),IF(S7&lt;0,"DNIT Qty is less, Ask JE for increase qty",IF(S7&gt;0,"OK","")),IF(AND(LEN(B7)&gt;0,LEN(I7)=0),"Item not in DNIT, Ask JE to Add",IF(AND(LEN(B7)=0,LEN(I7)&gt;0),"Extra items in DNIT","")))</f>
        <v>Item not in DNIT, Ask JE to Add</v>
      </c>
    </row>
    <row r="8" spans="1:21" x14ac:dyDescent="0.3">
      <c r="A8" s="231" t="s">
        <v>156</v>
      </c>
      <c r="B8" s="228" t="s">
        <v>184</v>
      </c>
      <c r="C8" s="319">
        <f>ROUND(40,3)</f>
        <v>40</v>
      </c>
      <c r="D8" s="229" t="s">
        <v>62</v>
      </c>
      <c r="E8" s="229">
        <v>6</v>
      </c>
      <c r="F8" s="320">
        <f>ROUND(C8*E8,0)</f>
        <v>240</v>
      </c>
      <c r="I8" s="227"/>
      <c r="P8" s="229">
        <f>ROUND(IF(J8&lt;&gt;"",C8-J8,0),2)</f>
        <v>0</v>
      </c>
      <c r="Q8" s="229">
        <f>IF(L8&lt;&gt;"",E8-L8,0)</f>
        <v>0</v>
      </c>
      <c r="R8" s="230">
        <f>IF(M8&lt;&gt;"",F8-M8,0)</f>
        <v>0</v>
      </c>
      <c r="S8" s="229">
        <f>IF(N8&lt;&gt;"",N8-C8,0-C8)</f>
        <v>-40</v>
      </c>
      <c r="T8" s="229" t="str">
        <f>IF(AND(LEN(B8 )&gt;0, LEN(I8 )&gt;0), IF(P8 = 0,"Matched",IF(P8 &lt;0,"Delete Extra Qty in Portal","Add Qty in Portal")),"")</f>
        <v/>
      </c>
      <c r="U8" s="229" t="str">
        <f>IF(AND(LEN(B8)&gt;0,LEN(I8)&gt;0,B8=I8),IF(S8&lt;0,"DNIT Qty is less, Ask JE for increase qty",IF(S8&gt;0,"OK","")),IF(AND(LEN(B8)&gt;0,LEN(I8)=0),"Item not in DNIT, Ask JE to Add",IF(AND(LEN(B8)=0,LEN(I8)&gt;0),"Extra items in DNIT","")))</f>
        <v>Item not in DNIT, Ask JE to Add</v>
      </c>
    </row>
    <row r="9" spans="1:21" x14ac:dyDescent="0.3">
      <c r="A9" s="231" t="s">
        <v>158</v>
      </c>
      <c r="B9" s="228" t="s">
        <v>185</v>
      </c>
      <c r="C9" s="319">
        <f>ROUND(143.294,3)</f>
        <v>143.29400000000001</v>
      </c>
      <c r="D9" s="229" t="s">
        <v>62</v>
      </c>
      <c r="E9" s="229">
        <v>7</v>
      </c>
      <c r="F9" s="320">
        <f>ROUND(C9*E9,0)</f>
        <v>1003</v>
      </c>
      <c r="I9" s="227"/>
      <c r="P9" s="229">
        <f>ROUND(IF(J9&lt;&gt;"",C9-J9,0),2)</f>
        <v>0</v>
      </c>
      <c r="Q9" s="229">
        <f>IF(L9&lt;&gt;"",E9-L9,0)</f>
        <v>0</v>
      </c>
      <c r="R9" s="230">
        <f>IF(M9&lt;&gt;"",F9-M9,0)</f>
        <v>0</v>
      </c>
      <c r="S9" s="229">
        <f>IF(N9&lt;&gt;"",N9-C9,0-C9)</f>
        <v>-143.29400000000001</v>
      </c>
      <c r="T9" s="229" t="str">
        <f>IF(AND(LEN(B9 )&gt;0, LEN(I9 )&gt;0), IF(P9 = 0,"Matched",IF(P9 &lt;0,"Delete Extra Qty in Portal","Add Qty in Portal")),"")</f>
        <v/>
      </c>
      <c r="U9" s="229" t="str">
        <f>IF(AND(LEN(B9)&gt;0,LEN(I9)&gt;0,B9=I9),IF(S9&lt;0,"DNIT Qty is less, Ask JE for increase qty",IF(S9&gt;0,"OK","")),IF(AND(LEN(B9)&gt;0,LEN(I9)=0),"Item not in DNIT, Ask JE to Add",IF(AND(LEN(B9)=0,LEN(I9)&gt;0),"Extra items in DNIT","")))</f>
        <v>Item not in DNIT, Ask JE to Add</v>
      </c>
    </row>
    <row r="10" spans="1:21" x14ac:dyDescent="0.3">
      <c r="A10" s="231" t="s">
        <v>160</v>
      </c>
      <c r="B10" s="228" t="s">
        <v>186</v>
      </c>
      <c r="C10" s="319">
        <f>ROUND(50.998,3)</f>
        <v>50.997999999999998</v>
      </c>
      <c r="D10" s="229" t="s">
        <v>62</v>
      </c>
      <c r="E10" s="229">
        <v>7</v>
      </c>
      <c r="F10" s="320">
        <f>ROUND(C10*E10,0)</f>
        <v>357</v>
      </c>
      <c r="I10" s="227"/>
      <c r="P10" s="229">
        <f>ROUND(IF(J10&lt;&gt;"",C10-J10,0),2)</f>
        <v>0</v>
      </c>
      <c r="Q10" s="229">
        <f>IF(L10&lt;&gt;"",E10-L10,0)</f>
        <v>0</v>
      </c>
      <c r="R10" s="230">
        <f>IF(M10&lt;&gt;"",F10-M10,0)</f>
        <v>0</v>
      </c>
      <c r="S10" s="229">
        <f>IF(N10&lt;&gt;"",N10-C10,0-C10)</f>
        <v>-50.997999999999998</v>
      </c>
      <c r="T10" s="229" t="str">
        <f>IF(AND(LEN(B10 )&gt;0, LEN(I10 )&gt;0), IF(P10 = 0,"Matched",IF(P10 &lt;0,"Delete Extra Qty in Portal","Add Qty in Portal")),"")</f>
        <v/>
      </c>
      <c r="U10" s="229" t="str">
        <f>IF(AND(LEN(B10)&gt;0,LEN(I10)&gt;0,B10=I10),IF(S10&lt;0,"DNIT Qty is less, Ask JE for increase qty",IF(S10&gt;0,"OK","")),IF(AND(LEN(B10)&gt;0,LEN(I10)=0),"Item not in DNIT, Ask JE to Add",IF(AND(LEN(B10)=0,LEN(I10)&gt;0),"Extra items in DNIT","")))</f>
        <v>Item not in DNIT, Ask JE to Add</v>
      </c>
    </row>
    <row r="11" spans="1:21" x14ac:dyDescent="0.3">
      <c r="A11" s="231" t="s">
        <v>162</v>
      </c>
      <c r="B11" s="228" t="s">
        <v>187</v>
      </c>
      <c r="C11" s="319">
        <f>ROUND(2167.833,3)</f>
        <v>2167.8330000000001</v>
      </c>
      <c r="D11" s="229" t="s">
        <v>62</v>
      </c>
      <c r="E11" s="229">
        <v>20</v>
      </c>
      <c r="F11" s="320">
        <f>ROUND(C11*E11,0)</f>
        <v>43357</v>
      </c>
      <c r="I11" s="227"/>
      <c r="P11" s="229">
        <f>ROUND(IF(J11&lt;&gt;"",C11-J11,0),2)</f>
        <v>0</v>
      </c>
      <c r="Q11" s="229">
        <f>IF(L11&lt;&gt;"",E11-L11,0)</f>
        <v>0</v>
      </c>
      <c r="R11" s="230">
        <f>IF(M11&lt;&gt;"",F11-M11,0)</f>
        <v>0</v>
      </c>
      <c r="S11" s="229">
        <f>IF(N11&lt;&gt;"",N11-C11,0-C11)</f>
        <v>-2167.8330000000001</v>
      </c>
      <c r="T11" s="229" t="str">
        <f>IF(AND(LEN(B11 )&gt;0, LEN(I11 )&gt;0), IF(P11 = 0,"Matched",IF(P11 &lt;0,"Delete Extra Qty in Portal","Add Qty in Portal")),"")</f>
        <v/>
      </c>
      <c r="U11" s="229" t="str">
        <f>IF(AND(LEN(B11)&gt;0,LEN(I11)&gt;0,B11=I11),IF(S11&lt;0,"DNIT Qty is less, Ask JE for increase qty",IF(S11&gt;0,"OK","")),IF(AND(LEN(B11)&gt;0,LEN(I11)=0),"Item not in DNIT, Ask JE to Add",IF(AND(LEN(B11)=0,LEN(I11)&gt;0),"Extra items in DNIT","")))</f>
        <v>Item not in DNIT, Ask JE to Add</v>
      </c>
    </row>
    <row r="12" spans="1:21" x14ac:dyDescent="0.3">
      <c r="A12" s="231" t="s">
        <v>164</v>
      </c>
      <c r="B12" s="228" t="s">
        <v>188</v>
      </c>
      <c r="C12" s="319">
        <f>ROUND(6.578,3)</f>
        <v>6.5780000000000003</v>
      </c>
      <c r="D12" s="229" t="s">
        <v>28</v>
      </c>
      <c r="E12" s="229">
        <v>1099</v>
      </c>
      <c r="F12" s="320">
        <f>ROUND(C12*E12,0)</f>
        <v>7229</v>
      </c>
      <c r="I12" s="227"/>
      <c r="P12" s="229">
        <f>ROUND(IF(J12&lt;&gt;"",C12-J12,0),2)</f>
        <v>0</v>
      </c>
      <c r="Q12" s="229">
        <f>IF(L12&lt;&gt;"",E12-L12,0)</f>
        <v>0</v>
      </c>
      <c r="R12" s="230">
        <f>IF(M12&lt;&gt;"",F12-M12,0)</f>
        <v>0</v>
      </c>
      <c r="S12" s="229">
        <f>IF(N12&lt;&gt;"",N12-C12,0-C12)</f>
        <v>-6.5780000000000003</v>
      </c>
      <c r="T12" s="229" t="str">
        <f>IF(AND(LEN(B12 )&gt;0, LEN(I12 )&gt;0), IF(P12 = 0,"Matched",IF(P12 &lt;0,"Delete Extra Qty in Portal","Add Qty in Portal")),"")</f>
        <v/>
      </c>
      <c r="U12" s="229" t="str">
        <f>IF(AND(LEN(B12)&gt;0,LEN(I12)&gt;0,B12=I12),IF(S12&lt;0,"DNIT Qty is less, Ask JE for increase qty",IF(S12&gt;0,"OK","")),IF(AND(LEN(B12)&gt;0,LEN(I12)=0),"Item not in DNIT, Ask JE to Add",IF(AND(LEN(B12)=0,LEN(I12)&gt;0),"Extra items in DNIT","")))</f>
        <v>Item not in DNIT, Ask JE to Add</v>
      </c>
    </row>
    <row r="13" spans="1:21" x14ac:dyDescent="0.3">
      <c r="A13" s="231" t="s">
        <v>166</v>
      </c>
      <c r="B13" s="228" t="s">
        <v>189</v>
      </c>
      <c r="C13" s="319">
        <f>ROUND(1,3)</f>
        <v>1</v>
      </c>
      <c r="D13" s="229" t="s">
        <v>43</v>
      </c>
      <c r="E13" s="229">
        <v>104</v>
      </c>
      <c r="F13" s="320">
        <f>ROUND(C13*E13,0)</f>
        <v>104</v>
      </c>
      <c r="I13" s="227"/>
      <c r="P13" s="229">
        <f>ROUND(IF(J13&lt;&gt;"",C13-J13,0),2)</f>
        <v>0</v>
      </c>
      <c r="Q13" s="229">
        <f>IF(L13&lt;&gt;"",E13-L13,0)</f>
        <v>0</v>
      </c>
      <c r="R13" s="230">
        <f>IF(M13&lt;&gt;"",F13-M13,0)</f>
        <v>0</v>
      </c>
      <c r="S13" s="229">
        <f>IF(N13&lt;&gt;"",N13-C13,0-C13)</f>
        <v>-1</v>
      </c>
      <c r="T13" s="229" t="str">
        <f>IF(AND(LEN(B13 )&gt;0, LEN(I13 )&gt;0), IF(P13 = 0,"Matched",IF(P13 &lt;0,"Delete Extra Qty in Portal","Add Qty in Portal")),"")</f>
        <v/>
      </c>
      <c r="U13" s="229" t="str">
        <f>IF(AND(LEN(B13)&gt;0,LEN(I13)&gt;0,B13=I13),IF(S13&lt;0,"DNIT Qty is less, Ask JE for increase qty",IF(S13&gt;0,"OK","")),IF(AND(LEN(B13)&gt;0,LEN(I13)=0),"Item not in DNIT, Ask JE to Add",IF(AND(LEN(B13)=0,LEN(I13)&gt;0),"Extra items in DNIT","")))</f>
        <v>Item not in DNIT, Ask JE to Add</v>
      </c>
    </row>
    <row r="14" spans="1:21" x14ac:dyDescent="0.3">
      <c r="A14" s="231" t="s">
        <v>168</v>
      </c>
      <c r="B14" s="228" t="s">
        <v>190</v>
      </c>
      <c r="C14" s="319">
        <f>ROUND(500,3)</f>
        <v>500</v>
      </c>
      <c r="D14" s="229" t="s">
        <v>56</v>
      </c>
      <c r="E14" s="229">
        <v>7</v>
      </c>
      <c r="F14" s="320">
        <f>ROUND(C14*E14,0)</f>
        <v>3500</v>
      </c>
      <c r="I14" s="227"/>
      <c r="P14" s="229">
        <f>ROUND(IF(J14&lt;&gt;"",C14-J14,0),2)</f>
        <v>0</v>
      </c>
      <c r="Q14" s="229">
        <f>IF(L14&lt;&gt;"",E14-L14,0)</f>
        <v>0</v>
      </c>
      <c r="R14" s="230">
        <f>IF(M14&lt;&gt;"",F14-M14,0)</f>
        <v>0</v>
      </c>
      <c r="S14" s="229">
        <f>IF(N14&lt;&gt;"",N14-C14,0-C14)</f>
        <v>-500</v>
      </c>
      <c r="T14" s="229" t="str">
        <f>IF(AND(LEN(B14 )&gt;0, LEN(I14 )&gt;0), IF(P14 = 0,"Matched",IF(P14 &lt;0,"Delete Extra Qty in Portal","Add Qty in Portal")),"")</f>
        <v/>
      </c>
      <c r="U14" s="229" t="str">
        <f>IF(AND(LEN(B14)&gt;0,LEN(I14)&gt;0,B14=I14),IF(S14&lt;0,"DNIT Qty is less, Ask JE for increase qty",IF(S14&gt;0,"OK","")),IF(AND(LEN(B14)&gt;0,LEN(I14)=0),"Item not in DNIT, Ask JE to Add",IF(AND(LEN(B14)=0,LEN(I14)&gt;0),"Extra items in DNIT","")))</f>
        <v>Item not in DNIT, Ask JE to Add</v>
      </c>
    </row>
    <row r="15" spans="1:21" x14ac:dyDescent="0.3">
      <c r="A15" s="231" t="s">
        <v>169</v>
      </c>
      <c r="B15" s="228" t="s">
        <v>191</v>
      </c>
      <c r="C15" s="319">
        <f>ROUND(40,3)</f>
        <v>40</v>
      </c>
      <c r="D15" s="229" t="s">
        <v>46</v>
      </c>
      <c r="E15" s="229">
        <v>87</v>
      </c>
      <c r="F15" s="320">
        <f>ROUND(C15*E15,0)</f>
        <v>3480</v>
      </c>
      <c r="I15" s="227"/>
      <c r="P15" s="229">
        <f>ROUND(IF(J15&lt;&gt;"",C15-J15,0),2)</f>
        <v>0</v>
      </c>
      <c r="Q15" s="229">
        <f>IF(L15&lt;&gt;"",E15-L15,0)</f>
        <v>0</v>
      </c>
      <c r="R15" s="230">
        <f>IF(M15&lt;&gt;"",F15-M15,0)</f>
        <v>0</v>
      </c>
      <c r="S15" s="229">
        <f>IF(N15&lt;&gt;"",N15-C15,0-C15)</f>
        <v>-40</v>
      </c>
      <c r="T15" s="229" t="str">
        <f>IF(AND(LEN(B15 )&gt;0, LEN(I15 )&gt;0), IF(P15 = 0,"Matched",IF(P15 &lt;0,"Delete Extra Qty in Portal","Add Qty in Portal")),"")</f>
        <v/>
      </c>
      <c r="U15" s="229" t="str">
        <f>IF(AND(LEN(B15)&gt;0,LEN(I15)&gt;0,B15=I15),IF(S15&lt;0,"DNIT Qty is less, Ask JE for increase qty",IF(S15&gt;0,"OK","")),IF(AND(LEN(B15)&gt;0,LEN(I15)=0),"Item not in DNIT, Ask JE to Add",IF(AND(LEN(B15)=0,LEN(I15)&gt;0),"Extra items in DNIT","")))</f>
        <v>Item not in DNIT, Ask JE to Add</v>
      </c>
    </row>
    <row r="16" spans="1:21" x14ac:dyDescent="0.3">
      <c r="A16" s="231" t="s">
        <v>171</v>
      </c>
      <c r="B16" s="228" t="s">
        <v>192</v>
      </c>
      <c r="C16" s="319">
        <f>ROUND(13.75,3)</f>
        <v>13.75</v>
      </c>
      <c r="D16" s="229" t="s">
        <v>15</v>
      </c>
      <c r="E16" s="229">
        <v>95</v>
      </c>
      <c r="F16" s="320">
        <f>ROUND(C16*E16,0)</f>
        <v>1306</v>
      </c>
      <c r="I16" s="227"/>
      <c r="P16" s="229">
        <f>ROUND(IF(J16&lt;&gt;"",C16-J16,0),2)</f>
        <v>0</v>
      </c>
      <c r="Q16" s="229">
        <f>IF(L16&lt;&gt;"",E16-L16,0)</f>
        <v>0</v>
      </c>
      <c r="R16" s="230">
        <f>IF(M16&lt;&gt;"",F16-M16,0)</f>
        <v>0</v>
      </c>
      <c r="S16" s="229">
        <f>IF(N16&lt;&gt;"",N16-C16,0-C16)</f>
        <v>-13.75</v>
      </c>
      <c r="T16" s="229" t="str">
        <f>IF(AND(LEN(B16 )&gt;0, LEN(I16 )&gt;0), IF(P16 = 0,"Matched",IF(P16 &lt;0,"Delete Extra Qty in Portal","Add Qty in Portal")),"")</f>
        <v/>
      </c>
      <c r="U16" s="229" t="str">
        <f>IF(AND(LEN(B16)&gt;0,LEN(I16)&gt;0,B16=I16),IF(S16&lt;0,"DNIT Qty is less, Ask JE for increase qty",IF(S16&gt;0,"OK","")),IF(AND(LEN(B16)&gt;0,LEN(I16)=0),"Item not in DNIT, Ask JE to Add",IF(AND(LEN(B16)=0,LEN(I16)&gt;0),"Extra items in DNIT","")))</f>
        <v>Item not in DNIT, Ask JE to Add</v>
      </c>
    </row>
    <row r="17" spans="1:21" x14ac:dyDescent="0.3">
      <c r="A17" s="233" t="s">
        <v>173</v>
      </c>
      <c r="B17" s="234" t="s">
        <v>193</v>
      </c>
      <c r="C17" s="321">
        <f>ROUND(10,3)</f>
        <v>10</v>
      </c>
      <c r="D17" s="34"/>
      <c r="E17" s="34">
        <v>0</v>
      </c>
      <c r="F17" s="322">
        <f>ROUND(C17*E17,0)</f>
        <v>0</v>
      </c>
      <c r="I17" s="227"/>
      <c r="P17" s="229">
        <f>ROUND(IF(J17&lt;&gt;"",C17-J17,0),2)</f>
        <v>0</v>
      </c>
      <c r="Q17" s="229">
        <f>IF(L17&lt;&gt;"",E17-L17,0)</f>
        <v>0</v>
      </c>
      <c r="R17" s="230">
        <f>IF(M17&lt;&gt;"",F17-M17,0)</f>
        <v>0</v>
      </c>
      <c r="S17" s="229">
        <f>IF(N17&lt;&gt;"",N17-C17,0-C17)</f>
        <v>-10</v>
      </c>
      <c r="T17" s="229" t="str">
        <f>IF(AND(LEN(B17 )&gt;0, LEN(I17 )&gt;0), IF(P17 = 0,"Matched",IF(P17 &lt;0,"Delete Extra Qty in Portal","Add Qty in Portal")),"")</f>
        <v/>
      </c>
      <c r="U17" s="229" t="str">
        <f>IF(AND(LEN(B17)&gt;0,LEN(I17)&gt;0,B17=I17),IF(S17&lt;0,"DNIT Qty is less, Ask JE for increase qty",IF(S17&gt;0,"OK","")),IF(AND(LEN(B17)&gt;0,LEN(I17)=0),"Item not in DNIT, Ask JE to Add",IF(AND(LEN(B17)=0,LEN(I17)&gt;0),"Extra items in DNIT","")))</f>
        <v>Item not in DNIT, Ask JE to Add</v>
      </c>
    </row>
    <row r="18" spans="1:21" x14ac:dyDescent="0.3">
      <c r="A18" s="36" t="s">
        <v>84</v>
      </c>
      <c r="B18" s="37"/>
      <c r="C18" s="321">
        <f>SUBTOTAL(109,SummaryTable_20260619_202303[Qty])</f>
        <v>3060.03</v>
      </c>
      <c r="D18" s="34"/>
      <c r="E18" s="34"/>
      <c r="F18" s="322">
        <f>SUBTOTAL(109,SummaryTable_20260619_202303[Amount])</f>
        <v>66229</v>
      </c>
      <c r="H18" t="s">
        <v>84</v>
      </c>
      <c r="J18">
        <f>SUBTOTAL(109,PortalTable_20260619_202303[Qty])</f>
        <v>0</v>
      </c>
      <c r="M18">
        <f>SUBTOTAL(109,PortalTable_20260619_202303[Amount])</f>
        <v>0</v>
      </c>
      <c r="N18">
        <f>SUBTOTAL(103,PortalTable_20260619_202303[Remaining DNIT Qty])</f>
        <v>0</v>
      </c>
      <c r="P18" t="s">
        <v>84</v>
      </c>
      <c r="R18">
        <f>SUBTOTAL(109,CompareTable_20260619_202303[Amount])</f>
        <v>0</v>
      </c>
      <c r="U18">
        <f>SUBTOTAL(103,CompareTable_20260619_202303[JE Action])</f>
        <v>15</v>
      </c>
    </row>
  </sheetData>
  <conditionalFormatting sqref="I3:I17">
    <cfRule type="expression" dxfId="38" priority="18" stopIfTrue="1">
      <formula>AND(LEN(I3)&gt;0,COUNTIF($B$3:$B$17,I3)=0)</formula>
    </cfRule>
  </conditionalFormatting>
  <conditionalFormatting sqref="B3:B17">
    <cfRule type="expression" dxfId="37" priority="19" stopIfTrue="1">
      <formula>AND(LEN(B3)&gt;0,COUNTIF($I$3:$I$17,B3)=0)</formula>
    </cfRule>
  </conditionalFormatting>
  <conditionalFormatting sqref="I3:I17">
    <cfRule type="expression" dxfId="36" priority="20" stopIfTrue="1">
      <formula>AND(LEN(I3)&gt;0,COUNTIF($B$3:$B$17,I3)&gt;0)</formula>
    </cfRule>
  </conditionalFormatting>
  <conditionalFormatting sqref="B3:B17">
    <cfRule type="expression" dxfId="35" priority="21" stopIfTrue="1">
      <formula>AND(LEN(B3)&gt;0,COUNTIF($I$3:$I$17,B3)&gt;0)</formula>
    </cfRule>
  </conditionalFormatting>
  <conditionalFormatting sqref="P3:Q17">
    <cfRule type="cellIs" dxfId="34" priority="22" stopIfTrue="1" operator="between">
      <formula>-0.2</formula>
      <formula>0.1</formula>
    </cfRule>
  </conditionalFormatting>
  <conditionalFormatting sqref="P3:Q17">
    <cfRule type="cellIs" dxfId="33" priority="23" stopIfTrue="1" operator="between">
      <formula>0.1</formula>
      <formula>0.2</formula>
    </cfRule>
  </conditionalFormatting>
  <conditionalFormatting sqref="P3:Q17">
    <cfRule type="cellIs" dxfId="32" priority="24" stopIfTrue="1" operator="greaterThan">
      <formula>0.2</formula>
    </cfRule>
  </conditionalFormatting>
  <conditionalFormatting sqref="P3:Q17">
    <cfRule type="cellIs" dxfId="31" priority="25" stopIfTrue="1" operator="between">
      <formula>-0.5</formula>
      <formula>-0.2</formula>
    </cfRule>
  </conditionalFormatting>
  <conditionalFormatting sqref="P3:Q17">
    <cfRule type="cellIs" dxfId="30" priority="26" stopIfTrue="1" operator="lessThan">
      <formula>-0.5</formula>
    </cfRule>
  </conditionalFormatting>
  <conditionalFormatting sqref="R3:R17">
    <cfRule type="cellIs" dxfId="29" priority="27" stopIfTrue="1" operator="between">
      <formula>-200</formula>
      <formula>100</formula>
    </cfRule>
  </conditionalFormatting>
  <conditionalFormatting sqref="R3:R17">
    <cfRule type="cellIs" dxfId="28" priority="28" stopIfTrue="1" operator="between">
      <formula>100</formula>
      <formula>200</formula>
    </cfRule>
  </conditionalFormatting>
  <conditionalFormatting sqref="R3:R17">
    <cfRule type="cellIs" dxfId="27" priority="29" stopIfTrue="1" operator="greaterThan">
      <formula>200</formula>
    </cfRule>
  </conditionalFormatting>
  <conditionalFormatting sqref="R3:R17">
    <cfRule type="cellIs" dxfId="26" priority="30" stopIfTrue="1" operator="between">
      <formula>-500</formula>
      <formula>-200</formula>
    </cfRule>
  </conditionalFormatting>
  <conditionalFormatting sqref="R3:R17">
    <cfRule type="cellIs" dxfId="25" priority="31" stopIfTrue="1" operator="lessThan">
      <formula>-500</formula>
    </cfRule>
  </conditionalFormatting>
  <conditionalFormatting sqref="S3:S17">
    <cfRule type="cellIs" dxfId="24" priority="32" stopIfTrue="1" operator="greaterThan">
      <formula>-0.0001</formula>
    </cfRule>
  </conditionalFormatting>
  <conditionalFormatting sqref="S3:S17">
    <cfRule type="cellIs" dxfId="23" priority="33" stopIfTrue="1" operator="between">
      <formula>-0.5</formula>
      <formula>-0.0001</formula>
    </cfRule>
  </conditionalFormatting>
  <conditionalFormatting sqref="S3:S17">
    <cfRule type="cellIs" dxfId="22" priority="34" stopIfTrue="1" operator="lessThan">
      <formula>-0.5</formula>
    </cfRule>
  </conditionalFormatting>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418E0-C02A-4167-ABEC-35A4EED60AA4}">
  <sheetPr>
    <tabColor rgb="FFFFFF00"/>
  </sheetPr>
  <dimension ref="A1:G18"/>
  <sheetViews>
    <sheetView topLeftCell="A2" workbookViewId="0">
      <selection activeCell="A2" sqref="A2:G17"/>
    </sheetView>
  </sheetViews>
  <sheetFormatPr defaultRowHeight="14.4" x14ac:dyDescent="0.3"/>
  <cols>
    <col min="1" max="1" width="7.6640625" bestFit="1" customWidth="1"/>
    <col min="2" max="2" width="12.21875" bestFit="1" customWidth="1"/>
    <col min="3" max="3" width="70.77734375" customWidth="1"/>
    <col min="4" max="4" width="10" bestFit="1" customWidth="1"/>
    <col min="5" max="5" width="9" bestFit="1" customWidth="1"/>
    <col min="6" max="6" width="9.21875" bestFit="1" customWidth="1"/>
    <col min="7" max="7" width="12.33203125" bestFit="1" customWidth="1"/>
  </cols>
  <sheetData>
    <row r="1" spans="1:7" ht="17.399999999999999" x14ac:dyDescent="0.35">
      <c r="A1" s="226" t="s">
        <v>102</v>
      </c>
      <c r="B1" s="226"/>
      <c r="C1" s="226"/>
      <c r="D1" s="226"/>
      <c r="E1" s="226"/>
      <c r="F1" s="226"/>
      <c r="G1" s="226"/>
    </row>
    <row r="2" spans="1:7" x14ac:dyDescent="0.3">
      <c r="A2" s="32" t="s">
        <v>103</v>
      </c>
      <c r="B2" s="232" t="s">
        <v>104</v>
      </c>
      <c r="C2" s="232" t="s">
        <v>76</v>
      </c>
      <c r="D2" s="232" t="s">
        <v>105</v>
      </c>
      <c r="E2" s="232" t="s">
        <v>80</v>
      </c>
      <c r="F2" s="232" t="s">
        <v>71</v>
      </c>
      <c r="G2" s="33" t="s">
        <v>82</v>
      </c>
    </row>
    <row r="3" spans="1:7" ht="100.8" x14ac:dyDescent="0.3">
      <c r="A3" s="235" t="s">
        <v>149</v>
      </c>
      <c r="B3" s="236" t="s">
        <v>22</v>
      </c>
      <c r="C3" s="236" t="s">
        <v>106</v>
      </c>
      <c r="D3" s="239">
        <v>62.024999999999999</v>
      </c>
      <c r="E3" s="57" t="s">
        <v>28</v>
      </c>
      <c r="F3" s="240">
        <v>83</v>
      </c>
      <c r="G3" s="42">
        <f>D3*F3</f>
        <v>5148.0749999999998</v>
      </c>
    </row>
    <row r="4" spans="1:7" ht="28.8" x14ac:dyDescent="0.3">
      <c r="A4" s="235" t="s">
        <v>150</v>
      </c>
      <c r="B4" s="236" t="s">
        <v>138</v>
      </c>
      <c r="C4" s="236" t="s">
        <v>151</v>
      </c>
      <c r="D4" s="239">
        <v>4.2480000000000002</v>
      </c>
      <c r="E4" s="57" t="s">
        <v>28</v>
      </c>
      <c r="F4" s="240">
        <v>18</v>
      </c>
      <c r="G4" s="42">
        <f>D4*F4</f>
        <v>76.463999999999999</v>
      </c>
    </row>
    <row r="5" spans="1:7" ht="57.6" x14ac:dyDescent="0.3">
      <c r="A5" s="235" t="s">
        <v>152</v>
      </c>
      <c r="B5" s="236" t="s">
        <v>39</v>
      </c>
      <c r="C5" s="236" t="s">
        <v>107</v>
      </c>
      <c r="D5" s="239">
        <v>4.2480000000000002</v>
      </c>
      <c r="E5" s="57" t="s">
        <v>28</v>
      </c>
      <c r="F5" s="240">
        <v>83</v>
      </c>
      <c r="G5" s="42">
        <f>D5*F5</f>
        <v>352.584</v>
      </c>
    </row>
    <row r="6" spans="1:7" ht="57.6" x14ac:dyDescent="0.3">
      <c r="A6" s="235" t="s">
        <v>153</v>
      </c>
      <c r="B6" s="236" t="s">
        <v>39</v>
      </c>
      <c r="C6" s="236" t="s">
        <v>108</v>
      </c>
      <c r="D6" s="239">
        <v>12.743</v>
      </c>
      <c r="E6" s="57" t="s">
        <v>28</v>
      </c>
      <c r="F6" s="240">
        <v>6</v>
      </c>
      <c r="G6" s="42">
        <f>D6*F6</f>
        <v>76.457999999999998</v>
      </c>
    </row>
    <row r="7" spans="1:7" ht="28.8" x14ac:dyDescent="0.3">
      <c r="A7" s="235" t="s">
        <v>154</v>
      </c>
      <c r="B7" s="236" t="s">
        <v>139</v>
      </c>
      <c r="C7" s="236" t="s">
        <v>155</v>
      </c>
      <c r="D7" s="239">
        <v>3.3125</v>
      </c>
      <c r="E7" s="57"/>
      <c r="F7" s="240">
        <v>0</v>
      </c>
      <c r="G7" s="42">
        <f>D7*F7</f>
        <v>0</v>
      </c>
    </row>
    <row r="8" spans="1:7" ht="158.4" x14ac:dyDescent="0.3">
      <c r="A8" s="235" t="s">
        <v>156</v>
      </c>
      <c r="B8" s="236" t="s">
        <v>131</v>
      </c>
      <c r="C8" s="236" t="s">
        <v>157</v>
      </c>
      <c r="D8" s="239">
        <v>40</v>
      </c>
      <c r="E8" s="57" t="s">
        <v>62</v>
      </c>
      <c r="F8" s="240">
        <v>6</v>
      </c>
      <c r="G8" s="42">
        <f>D8*F8</f>
        <v>240</v>
      </c>
    </row>
    <row r="9" spans="1:7" ht="172.8" x14ac:dyDescent="0.3">
      <c r="A9" s="235" t="s">
        <v>158</v>
      </c>
      <c r="B9" s="236" t="s">
        <v>0</v>
      </c>
      <c r="C9" s="236" t="s">
        <v>159</v>
      </c>
      <c r="D9" s="239">
        <v>143.29400000000001</v>
      </c>
      <c r="E9" s="57" t="s">
        <v>62</v>
      </c>
      <c r="F9" s="240">
        <v>7</v>
      </c>
      <c r="G9" s="42">
        <f>D9*F9</f>
        <v>1003.0580000000001</v>
      </c>
    </row>
    <row r="10" spans="1:7" ht="57.6" x14ac:dyDescent="0.3">
      <c r="A10" s="235" t="s">
        <v>160</v>
      </c>
      <c r="B10" s="236" t="s">
        <v>65</v>
      </c>
      <c r="C10" s="236" t="s">
        <v>161</v>
      </c>
      <c r="D10" s="239">
        <v>50.997999999999998</v>
      </c>
      <c r="E10" s="57" t="s">
        <v>62</v>
      </c>
      <c r="F10" s="240">
        <v>7</v>
      </c>
      <c r="G10" s="42">
        <f>D10*F10</f>
        <v>356.98599999999999</v>
      </c>
    </row>
    <row r="11" spans="1:7" ht="100.8" x14ac:dyDescent="0.3">
      <c r="A11" s="235" t="s">
        <v>162</v>
      </c>
      <c r="B11" s="236" t="s">
        <v>16</v>
      </c>
      <c r="C11" s="236" t="s">
        <v>163</v>
      </c>
      <c r="D11" s="239">
        <v>2167.8330000000001</v>
      </c>
      <c r="E11" s="57" t="s">
        <v>62</v>
      </c>
      <c r="F11" s="240">
        <v>20</v>
      </c>
      <c r="G11" s="42">
        <f>D11*F11</f>
        <v>43356.66</v>
      </c>
    </row>
    <row r="12" spans="1:7" ht="57.6" x14ac:dyDescent="0.3">
      <c r="A12" s="235" t="s">
        <v>164</v>
      </c>
      <c r="B12" s="236" t="s">
        <v>29</v>
      </c>
      <c r="C12" s="236" t="s">
        <v>165</v>
      </c>
      <c r="D12" s="239">
        <v>6.5780000000000003</v>
      </c>
      <c r="E12" s="57" t="s">
        <v>28</v>
      </c>
      <c r="F12" s="240">
        <v>1099</v>
      </c>
      <c r="G12" s="42">
        <f>D12*F12</f>
        <v>7229.2220000000007</v>
      </c>
    </row>
    <row r="13" spans="1:7" ht="100.8" x14ac:dyDescent="0.3">
      <c r="A13" s="235" t="s">
        <v>166</v>
      </c>
      <c r="B13" s="236" t="s">
        <v>31</v>
      </c>
      <c r="C13" s="236" t="s">
        <v>167</v>
      </c>
      <c r="D13" s="239">
        <v>1</v>
      </c>
      <c r="E13" s="57" t="s">
        <v>43</v>
      </c>
      <c r="F13" s="240">
        <v>104</v>
      </c>
      <c r="G13" s="42">
        <f>D13*F13</f>
        <v>104</v>
      </c>
    </row>
    <row r="14" spans="1:7" ht="86.4" x14ac:dyDescent="0.3">
      <c r="A14" s="235" t="s">
        <v>168</v>
      </c>
      <c r="B14" s="236" t="s">
        <v>34</v>
      </c>
      <c r="C14" s="236" t="s">
        <v>109</v>
      </c>
      <c r="D14" s="239">
        <v>500</v>
      </c>
      <c r="E14" s="57" t="s">
        <v>56</v>
      </c>
      <c r="F14" s="240">
        <v>7</v>
      </c>
      <c r="G14" s="42">
        <f>D14*F14</f>
        <v>3500</v>
      </c>
    </row>
    <row r="15" spans="1:7" ht="86.4" x14ac:dyDescent="0.3">
      <c r="A15" s="235" t="s">
        <v>169</v>
      </c>
      <c r="B15" s="236" t="s">
        <v>38</v>
      </c>
      <c r="C15" s="236" t="s">
        <v>170</v>
      </c>
      <c r="D15" s="239">
        <v>40</v>
      </c>
      <c r="E15" s="57" t="s">
        <v>46</v>
      </c>
      <c r="F15" s="240">
        <v>87</v>
      </c>
      <c r="G15" s="42">
        <f>D15*F15</f>
        <v>3480</v>
      </c>
    </row>
    <row r="16" spans="1:7" ht="57.6" x14ac:dyDescent="0.3">
      <c r="A16" s="235" t="s">
        <v>171</v>
      </c>
      <c r="B16" s="236" t="s">
        <v>144</v>
      </c>
      <c r="C16" s="236" t="s">
        <v>172</v>
      </c>
      <c r="D16" s="239">
        <v>13.75</v>
      </c>
      <c r="E16" s="57" t="s">
        <v>15</v>
      </c>
      <c r="F16" s="240">
        <v>95</v>
      </c>
      <c r="G16" s="42">
        <f>D16*F16</f>
        <v>1306.25</v>
      </c>
    </row>
    <row r="17" spans="1:7" x14ac:dyDescent="0.3">
      <c r="A17" s="237" t="s">
        <v>173</v>
      </c>
      <c r="B17" s="238" t="s">
        <v>145</v>
      </c>
      <c r="C17" s="238" t="s">
        <v>110</v>
      </c>
      <c r="D17" s="39">
        <v>10</v>
      </c>
      <c r="E17" s="40"/>
      <c r="F17" s="41">
        <v>0</v>
      </c>
      <c r="G17" s="43">
        <f>D17*F17</f>
        <v>0</v>
      </c>
    </row>
    <row r="18" spans="1:7" x14ac:dyDescent="0.3">
      <c r="A18" s="36" t="s">
        <v>84</v>
      </c>
      <c r="B18" s="37"/>
      <c r="C18" s="38"/>
      <c r="D18" s="34">
        <f>SUBTOTAL(109,SummaryTable_20260619_202153[Qty])</f>
        <v>3060.0295000000001</v>
      </c>
      <c r="E18" s="34"/>
      <c r="F18" s="34"/>
      <c r="G18" s="35">
        <f>SUBTOTAL(109,SummaryTable_20260619_202153[Amount])</f>
        <v>66229.757000000012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A920A-3173-48BA-9D3C-BE99B3ACD607}">
  <sheetPr>
    <tabColor rgb="FFFFA500"/>
  </sheetPr>
  <dimension ref="A1:D10"/>
  <sheetViews>
    <sheetView workbookViewId="0"/>
  </sheetViews>
  <sheetFormatPr defaultRowHeight="14.4" x14ac:dyDescent="0.3"/>
  <cols>
    <col min="4" max="4" width="9.33203125" bestFit="1" customWidth="1"/>
  </cols>
  <sheetData>
    <row r="1" spans="1:4" ht="15" thickBot="1" x14ac:dyDescent="0.35"/>
    <row r="2" spans="1:4" ht="29.4" thickTop="1" x14ac:dyDescent="0.3">
      <c r="A2" s="28" t="s">
        <v>94</v>
      </c>
      <c r="B2" s="29"/>
      <c r="C2" s="29"/>
      <c r="D2" s="223" t="s">
        <v>95</v>
      </c>
    </row>
    <row r="3" spans="1:4" ht="15.6" x14ac:dyDescent="0.3">
      <c r="A3" s="27" t="s">
        <v>96</v>
      </c>
      <c r="B3" s="222"/>
      <c r="C3" s="222"/>
      <c r="D3" s="224">
        <f>SUMIF(Sample!E2:E119,"Total (Weight of φ12mm Rebar)",Sample!H2:H119)</f>
        <v>65.024000000000001</v>
      </c>
    </row>
    <row r="4" spans="1:4" ht="15.6" x14ac:dyDescent="0.3">
      <c r="A4" s="27" t="s">
        <v>97</v>
      </c>
      <c r="B4" s="222"/>
      <c r="C4" s="222"/>
      <c r="D4" s="224">
        <f>SUMIF(Sample!E2:E119,"Total (Weight of φ8mm Rebar)",Sample!H2:H119)</f>
        <v>78.269629629629634</v>
      </c>
    </row>
    <row r="5" spans="1:4" ht="15.6" x14ac:dyDescent="0.3">
      <c r="A5" s="27" t="s">
        <v>98</v>
      </c>
      <c r="B5" s="222"/>
      <c r="C5" s="222"/>
      <c r="D5" s="224">
        <f>SUMIF(Sample!E2:E119,"Total (Weight for 32.4 Kg per Sqm)",Sample!H2:H119)</f>
        <v>50.997599999999998</v>
      </c>
    </row>
    <row r="6" spans="1:4" ht="15.6" x14ac:dyDescent="0.3">
      <c r="A6" s="27" t="s">
        <v>99</v>
      </c>
      <c r="B6" s="222"/>
      <c r="C6" s="222"/>
      <c r="D6" s="224">
        <f>SUMIF(Sample!E2:E119,"Total (Weight for 18.361 Kg per Meter)",Sample!H2:H119)</f>
        <v>783.50059199999998</v>
      </c>
    </row>
    <row r="7" spans="1:4" ht="15.6" x14ac:dyDescent="0.3">
      <c r="A7" s="27" t="s">
        <v>100</v>
      </c>
      <c r="B7" s="222"/>
      <c r="C7" s="222"/>
      <c r="D7" s="224">
        <f>SUMIF(Sample!E2:E119,"Total (Weight for 6.8 Kg per Meter)",Sample!H2:H119)</f>
        <v>671.53399999999999</v>
      </c>
    </row>
    <row r="8" spans="1:4" ht="15.6" x14ac:dyDescent="0.3">
      <c r="A8" s="27" t="s">
        <v>101</v>
      </c>
      <c r="B8" s="222"/>
      <c r="C8" s="222"/>
      <c r="D8" s="224">
        <f>SUMIF(Sample!E2:E119,"Total (Weight for 7.21785 Kg per Meter)",Sample!H2:H119)</f>
        <v>712.79877675</v>
      </c>
    </row>
    <row r="9" spans="1:4" ht="16.2" thickBot="1" x14ac:dyDescent="0.35">
      <c r="A9" s="30" t="s">
        <v>84</v>
      </c>
      <c r="B9" s="31"/>
      <c r="C9" s="31"/>
      <c r="D9" s="225">
        <f>SUM($D$3:$D$8)</f>
        <v>2362.1245983796293</v>
      </c>
    </row>
    <row r="10" spans="1:4" ht="15" thickTop="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Sample</vt:lpstr>
      <vt:lpstr>VARIATION</vt:lpstr>
      <vt:lpstr>SUMMARY BILL MATCH</vt:lpstr>
      <vt:lpstr>ABSTRACT BILL</vt:lpstr>
      <vt:lpstr>Steel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GarG BroThers</dc:creator>
  <cp:lastModifiedBy>GarG BroThers</cp:lastModifiedBy>
  <dcterms:created xsi:type="dcterms:W3CDTF">2015-06-05T18:17:20Z</dcterms:created>
  <dcterms:modified xsi:type="dcterms:W3CDTF">2026-06-19T14:54:15Z</dcterms:modified>
</cp:coreProperties>
</file>