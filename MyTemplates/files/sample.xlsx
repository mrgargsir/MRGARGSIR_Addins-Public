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mrgar\Desktop\"/>
    </mc:Choice>
  </mc:AlternateContent>
  <xr:revisionPtr revIDLastSave="0" documentId="13_ncr:1_{132C4BF5-26BA-44A9-912B-81959D5D8DBB}" xr6:coauthVersionLast="47" xr6:coauthVersionMax="47" xr10:uidLastSave="{00000000-0000-0000-0000-000000000000}"/>
  <bookViews>
    <workbookView xWindow="-108" yWindow="-108" windowWidth="23256" windowHeight="12456" xr2:uid="{00000000-000D-0000-FFFF-FFFF00000000}"/>
  </bookViews>
  <sheets>
    <sheet name="Sample" sheetId="1" r:id="rId1"/>
    <sheet name="ABSTRACT BILL" sheetId="4" r:id="rId2"/>
    <sheet name="Steel Summary"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9" i="1" l="1"/>
  <c r="I138" i="1"/>
  <c r="I128" i="1"/>
  <c r="I127" i="1"/>
  <c r="F16" i="4"/>
  <c r="A16" i="4"/>
  <c r="F15" i="4"/>
  <c r="A15" i="4"/>
  <c r="F14" i="4"/>
  <c r="A14" i="4"/>
  <c r="F13" i="4"/>
  <c r="A13" i="4"/>
  <c r="F12" i="4"/>
  <c r="A12" i="4"/>
  <c r="F11" i="4"/>
  <c r="A11" i="4"/>
  <c r="F10" i="4"/>
  <c r="A10" i="4"/>
  <c r="F9" i="4"/>
  <c r="A9" i="4"/>
  <c r="F8" i="4"/>
  <c r="A8" i="4"/>
  <c r="F7" i="4"/>
  <c r="A7" i="4"/>
  <c r="F6" i="4"/>
  <c r="A6" i="4"/>
  <c r="F5" i="4"/>
  <c r="A5" i="4"/>
  <c r="F4" i="4"/>
  <c r="A4" i="4"/>
  <c r="F3" i="4"/>
  <c r="A3" i="4"/>
  <c r="A3" i="1"/>
  <c r="A9" i="1" s="1"/>
  <c r="A14" i="1" s="1"/>
  <c r="K6" i="1"/>
  <c r="K7" i="1"/>
  <c r="K11" i="1"/>
  <c r="K12" i="1"/>
  <c r="K16" i="1"/>
  <c r="K17" i="1"/>
  <c r="K21" i="1"/>
  <c r="K22" i="1"/>
  <c r="K31" i="1"/>
  <c r="K35" i="1"/>
  <c r="K36" i="1"/>
  <c r="K51" i="1"/>
  <c r="K52" i="1"/>
  <c r="K61" i="1"/>
  <c r="K62" i="1"/>
  <c r="K82" i="1"/>
  <c r="K83" i="1"/>
  <c r="K92" i="1"/>
  <c r="K93" i="1"/>
  <c r="K97" i="1"/>
  <c r="K98" i="1"/>
  <c r="K102" i="1"/>
  <c r="K103" i="1"/>
  <c r="K107" i="1"/>
  <c r="K108" i="1"/>
  <c r="H102" i="1"/>
  <c r="H103" i="1" s="1"/>
  <c r="L103" i="1" s="1"/>
  <c r="H5" i="1"/>
  <c r="H4" i="1"/>
  <c r="H6" i="1" s="1"/>
  <c r="H7" i="1" s="1"/>
  <c r="L7" i="1" s="1"/>
  <c r="H10" i="1"/>
  <c r="H11" i="1" s="1"/>
  <c r="H12" i="1" s="1"/>
  <c r="L12" i="1" s="1"/>
  <c r="H15" i="1"/>
  <c r="H16" i="1" s="1"/>
  <c r="H17" i="1" s="1"/>
  <c r="L17" i="1" s="1"/>
  <c r="H20" i="1"/>
  <c r="H21" i="1" s="1"/>
  <c r="H22" i="1" s="1"/>
  <c r="L22" i="1" s="1"/>
  <c r="H28" i="1"/>
  <c r="H27" i="1"/>
  <c r="H26" i="1"/>
  <c r="H25" i="1"/>
  <c r="H34" i="1"/>
  <c r="H35" i="1" s="1"/>
  <c r="H36" i="1" s="1"/>
  <c r="D8" i="4" s="1"/>
  <c r="G8" i="4" s="1"/>
  <c r="H41" i="1"/>
  <c r="H42" i="1" s="1"/>
  <c r="H43" i="1" s="1"/>
  <c r="H44" i="1" s="1"/>
  <c r="H128" i="1" s="1"/>
  <c r="L128" i="1" s="1"/>
  <c r="M128" i="1" s="1"/>
  <c r="H47" i="1"/>
  <c r="H48" i="1" s="1"/>
  <c r="H49" i="1" s="1"/>
  <c r="H50" i="1" s="1"/>
  <c r="H127" i="1" s="1"/>
  <c r="L127" i="1" s="1"/>
  <c r="H57" i="1"/>
  <c r="H56" i="1"/>
  <c r="H66" i="1"/>
  <c r="H67" i="1" s="1"/>
  <c r="H68" i="1" s="1"/>
  <c r="H69" i="1" s="1"/>
  <c r="H72" i="1"/>
  <c r="H71" i="1"/>
  <c r="H78" i="1"/>
  <c r="H77" i="1"/>
  <c r="H91" i="1"/>
  <c r="H90" i="1"/>
  <c r="H89" i="1"/>
  <c r="H88" i="1"/>
  <c r="H87" i="1"/>
  <c r="H86" i="1"/>
  <c r="H96" i="1"/>
  <c r="H97" i="1" s="1"/>
  <c r="H98" i="1" s="1"/>
  <c r="L98" i="1" s="1"/>
  <c r="H101" i="1"/>
  <c r="H106" i="1"/>
  <c r="H107" i="1" s="1"/>
  <c r="H108" i="1" s="1"/>
  <c r="L108" i="1" s="1"/>
  <c r="H111" i="1"/>
  <c r="H112" i="1" s="1"/>
  <c r="H113" i="1" s="1"/>
  <c r="D16" i="4" s="1"/>
  <c r="G16" i="4" s="1"/>
  <c r="M127" i="1" l="1"/>
  <c r="H139" i="1"/>
  <c r="L139" i="1" s="1"/>
  <c r="M139" i="1" s="1"/>
  <c r="H136" i="1"/>
  <c r="L136" i="1" s="1"/>
  <c r="M136" i="1" s="1"/>
  <c r="H137" i="1"/>
  <c r="L137" i="1" s="1"/>
  <c r="M137" i="1" s="1"/>
  <c r="H133" i="1"/>
  <c r="L133" i="1" s="1"/>
  <c r="M133" i="1" s="1"/>
  <c r="H130" i="1"/>
  <c r="L130" i="1" s="1"/>
  <c r="M130" i="1" s="1"/>
  <c r="D5" i="4"/>
  <c r="G5" i="4" s="1"/>
  <c r="D14" i="4"/>
  <c r="G14" i="4" s="1"/>
  <c r="D6" i="4"/>
  <c r="G6" i="4" s="1"/>
  <c r="L113" i="1"/>
  <c r="D13" i="4"/>
  <c r="G13" i="4" s="1"/>
  <c r="D3" i="4"/>
  <c r="D4" i="4"/>
  <c r="G4" i="4" s="1"/>
  <c r="D15" i="4"/>
  <c r="G15" i="4" s="1"/>
  <c r="L36" i="1"/>
  <c r="H92" i="1"/>
  <c r="H93" i="1" s="1"/>
  <c r="H132" i="1" s="1"/>
  <c r="L132" i="1" s="1"/>
  <c r="M132" i="1" s="1"/>
  <c r="A19" i="1"/>
  <c r="H29" i="1"/>
  <c r="H30" i="1" s="1"/>
  <c r="H31" i="1" s="1"/>
  <c r="H138" i="1" s="1"/>
  <c r="L138" i="1" s="1"/>
  <c r="M138" i="1" s="1"/>
  <c r="H58" i="1"/>
  <c r="H59" i="1" s="1"/>
  <c r="H60" i="1" s="1"/>
  <c r="H79" i="1"/>
  <c r="H80" i="1" s="1"/>
  <c r="H81" i="1" s="1"/>
  <c r="H73" i="1"/>
  <c r="H74" i="1" s="1"/>
  <c r="H75" i="1" s="1"/>
  <c r="H52" i="1"/>
  <c r="H135" i="1" l="1"/>
  <c r="L135" i="1" s="1"/>
  <c r="M135" i="1" s="1"/>
  <c r="H129" i="1"/>
  <c r="L129" i="1" s="1"/>
  <c r="H131" i="1"/>
  <c r="L131" i="1" s="1"/>
  <c r="M131" i="1" s="1"/>
  <c r="H62" i="1"/>
  <c r="H134" i="1"/>
  <c r="L134" i="1" s="1"/>
  <c r="M134" i="1" s="1"/>
  <c r="L52" i="1"/>
  <c r="D9" i="4"/>
  <c r="G9" i="4" s="1"/>
  <c r="L62" i="1"/>
  <c r="D10" i="4"/>
  <c r="G10" i="4" s="1"/>
  <c r="G3" i="4"/>
  <c r="L93" i="1"/>
  <c r="D12" i="4"/>
  <c r="G12" i="4" s="1"/>
  <c r="L31" i="1"/>
  <c r="D7" i="4"/>
  <c r="G7" i="4" s="1"/>
  <c r="H83" i="1"/>
  <c r="A24" i="1"/>
  <c r="A33" i="1" s="1"/>
  <c r="M129" i="1" l="1"/>
  <c r="M140" i="1" s="1"/>
  <c r="L140" i="1"/>
  <c r="L83" i="1"/>
  <c r="L115" i="1" s="1"/>
  <c r="L116" i="1" s="1"/>
  <c r="L117" i="1" s="1"/>
  <c r="L141" i="1" s="1"/>
  <c r="D11" i="4"/>
  <c r="G11" i="4" s="1"/>
  <c r="G17" i="4"/>
  <c r="D17" i="4"/>
  <c r="A38" i="1"/>
  <c r="A54" i="1" s="1"/>
  <c r="L142" i="1" l="1"/>
  <c r="A64" i="1"/>
  <c r="L118" i="1"/>
  <c r="L119" i="1"/>
  <c r="A85" i="1" l="1"/>
  <c r="L120" i="1"/>
  <c r="M141" i="1" s="1"/>
  <c r="M142" i="1" s="1"/>
  <c r="L143" i="1" s="1"/>
  <c r="D5" i="2"/>
  <c r="D8" i="2"/>
  <c r="D10" i="2"/>
  <c r="A95" i="1" l="1"/>
  <c r="D6" i="2"/>
  <c r="D9" i="2"/>
  <c r="A100" i="1" l="1"/>
  <c r="A105" i="1" s="1"/>
  <c r="A110" i="1" s="1"/>
  <c r="D7" i="2"/>
  <c r="D11" i="2" s="1"/>
  <c r="D14" i="2" s="1"/>
</calcChain>
</file>

<file path=xl/sharedStrings.xml><?xml version="1.0" encoding="utf-8"?>
<sst xmlns="http://schemas.openxmlformats.org/spreadsheetml/2006/main" count="299" uniqueCount="157">
  <si>
    <t>6.33.6</t>
  </si>
  <si>
    <t xml:space="preserve"> Thermo-Mechanically Treated bars of grade Fe-500D kg or more.</t>
  </si>
  <si>
    <t>12mm dia</t>
  </si>
  <si>
    <t>rft</t>
  </si>
  <si>
    <t>Total (rft)</t>
  </si>
  <si>
    <t>Kg</t>
  </si>
  <si>
    <t>A</t>
  </si>
  <si>
    <t>8mm dia</t>
  </si>
  <si>
    <t>Ring (15*15)</t>
  </si>
  <si>
    <t>B</t>
  </si>
  <si>
    <t>Total A + B</t>
  </si>
  <si>
    <t>MS plate 12mm thickness</t>
  </si>
  <si>
    <t>sft</t>
  </si>
  <si>
    <t>Total (sft)</t>
  </si>
  <si>
    <t>Total (sqm)</t>
  </si>
  <si>
    <t>sqm</t>
  </si>
  <si>
    <t>13.30.1</t>
  </si>
  <si>
    <t>150MM SQAURE  PIPE 4mm thick</t>
  </si>
  <si>
    <t>Total (Weight for 18.361 Kg per Meter)</t>
  </si>
  <si>
    <t>truss using pipe 100*50*3mm</t>
  </si>
  <si>
    <t>Total (Weight for 6.8 Kg per Meter)</t>
  </si>
  <si>
    <t xml:space="preserve">truss using pipe </t>
  </si>
  <si>
    <t>4.14.1</t>
  </si>
  <si>
    <t>Side wall</t>
  </si>
  <si>
    <t>cft</t>
  </si>
  <si>
    <t>Toe wall</t>
  </si>
  <si>
    <t>Total (cft)</t>
  </si>
  <si>
    <t>Total (cum)</t>
  </si>
  <si>
    <t>cum</t>
  </si>
  <si>
    <t>7.22.2</t>
  </si>
  <si>
    <t>Deduction</t>
  </si>
  <si>
    <t>9.59.2</t>
  </si>
  <si>
    <t>Nos</t>
  </si>
  <si>
    <t>Total (nos)</t>
  </si>
  <si>
    <t>22.181</t>
  </si>
  <si>
    <t>Liter</t>
  </si>
  <si>
    <t>Total (liter)</t>
  </si>
  <si>
    <t>Through Rate</t>
  </si>
  <si>
    <t>22.222.2.2</t>
  </si>
  <si>
    <t>RM079</t>
  </si>
  <si>
    <t>3.1.2</t>
  </si>
  <si>
    <t>5KM</t>
  </si>
  <si>
    <t>6km - 8km</t>
  </si>
  <si>
    <t>liter</t>
  </si>
  <si>
    <t>each</t>
  </si>
  <si>
    <t>Total (each)</t>
  </si>
  <si>
    <t>Take 7.21785 Kg per Meter</t>
  </si>
  <si>
    <t>meter</t>
  </si>
  <si>
    <t>Total (meter)</t>
  </si>
  <si>
    <t>Total (Weight for 7.21785 Kg per Meter)</t>
  </si>
  <si>
    <t>Take 6.8 Kg per Meter</t>
  </si>
  <si>
    <t>Take 18.361 Kg per Meter</t>
  </si>
  <si>
    <t>Take 32.4 Kg per Sqm</t>
  </si>
  <si>
    <t>Total (Weight for 32.4 Kg per Sqm)</t>
  </si>
  <si>
    <t>Total (Weight of φ8mm Rebar)</t>
  </si>
  <si>
    <t>Total (Weight of φ12mm Rebar)</t>
  </si>
  <si>
    <r>
      <t xml:space="preserve">22.222: Sanitary Installations HDPE pipes for Drainage Providing and fixing in position singel socket SWR UPVC soil waste or antisyphonage pipes as per IS 13592 of E.D.C manufacture or of any other reputed firm including cutting, jointing, wastage, but excluding cost of jointing.
</t>
    </r>
    <r>
      <rPr>
        <b/>
        <i/>
        <sz val="8"/>
        <color rgb="FF800080"/>
        <rFont val="Times New Roman"/>
        <family val="1"/>
      </rPr>
      <t xml:space="preserve">22.222.2.2: Single Socket Type B  110mm o/d SWR UPVC pipe lines laid complete
</t>
    </r>
  </si>
  <si>
    <t>litre</t>
  </si>
  <si>
    <t xml:space="preserve">22.181: Sanitary Installations LOFT AND TERRACE WATER TANKS Providing and placing on terrace (at all floor levels) polyethylene water storage tank, IS : 12701 marked, with cover and suitable locking arrangement and making necessary holes for inlet, outlet and overflow pipes but without fittings and the base support for tank.
</t>
  </si>
  <si>
    <r>
      <t xml:space="preserve">9.59: Hoisting and Roofing RAIN WATER SPOUTS AND PIPES 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t>
    </r>
    <r>
      <rPr>
        <b/>
        <i/>
        <sz val="9"/>
        <color rgb="FF8B0000"/>
        <rFont val="Calibri"/>
        <family val="2"/>
        <scheme val="minor"/>
      </rPr>
      <t xml:space="preserve">9.59.2: 110 mm
</t>
    </r>
  </si>
  <si>
    <t>Through Rate Amnd</t>
  </si>
  <si>
    <r>
      <t xml:space="preserve">7.22: Brick work with common burnt clay non- modular bricks of class designation 7.5 in superstructure above plinth level up to floor IV level in all shapes and sizes in :
</t>
    </r>
    <r>
      <rPr>
        <b/>
        <i/>
        <sz val="9"/>
        <color rgb="FF8B0000"/>
        <rFont val="Times New Roman"/>
        <family val="1"/>
      </rPr>
      <t xml:space="preserve">7.22.2: Cement mortar 1:6 (1 cement : 6 coarse sand)
</t>
    </r>
  </si>
  <si>
    <t>C</t>
  </si>
  <si>
    <t>Total A + B + C</t>
  </si>
  <si>
    <t>kg</t>
  </si>
  <si>
    <r>
      <t xml:space="preserve">13.30: Steel and Iron Work SIGLE/BUILT-UP STEEL/TUBULAR SECTIONS Steel work in built up tubular (round, square or rectangular hollow tubes etc.) trusses etc., including cutting, hoisting, fixing in position and applying a priming coat of approved steel primer, including welding and bolted with special shaped washers etc. complete.
</t>
    </r>
    <r>
      <rPr>
        <b/>
        <i/>
        <sz val="9"/>
        <color rgb="FF8B0000"/>
        <rFont val="Calibri"/>
        <family val="2"/>
        <scheme val="minor"/>
      </rPr>
      <t xml:space="preserve">13.30.1: Hot finished welded type tubes
</t>
    </r>
  </si>
  <si>
    <t>Total A</t>
  </si>
  <si>
    <t>13.31</t>
  </si>
  <si>
    <t xml:space="preserve">13.31: Steel and Iron Work SIGLE/BUILT-UP STEEL/TUBULAR SECTIONS Providing and fixing mild steel round holding down bolts with nuts and washer plates complete.
</t>
  </si>
  <si>
    <r>
      <t xml:space="preserve">6.33: Steel reinforcement for R.C.C. work, where not included in the complete rate of RCC, including straightening, cutting, bending, placing in position, binding, wastage, overlaps, welded joints, spacer bars, chairs, stays, hangers and annealed steel wire etc. complete in all respect for all heights/depths/storeys/basements etc. complete in all respect below plinth level.  Note: - Reinforcement shall be measured in length including hooks, if any, separately for different diameters as actually used in work, excluding overlaps. Wastage, overlaps, couplings, welded joints, spacer bars, chairs, stays, hangers and annealed steel wire or other methods of binding and placing shall not be measured and cost of these items shall be deemed to be included in the rates for reinforcement.
</t>
    </r>
    <r>
      <rPr>
        <b/>
        <i/>
        <sz val="9"/>
        <color rgb="FF8B0000"/>
        <rFont val="Calibri"/>
        <family val="2"/>
        <scheme val="minor"/>
      </rPr>
      <t xml:space="preserve">6.33.6: Thermo-Mechanically Treated bars of grade Fe-500D or more.
</t>
    </r>
  </si>
  <si>
    <t>Beyond 5km up to 10km per KM</t>
  </si>
  <si>
    <r>
      <t xml:space="preserve">3.1: Loading, Unloading and Carriage of Materials Schedule A By Mechanical Transport including loading, unloading and stacking
</t>
    </r>
    <r>
      <rPr>
        <b/>
        <i/>
        <sz val="9"/>
        <color rgb="FF8B0000"/>
        <rFont val="Calibri"/>
        <family val="2"/>
        <scheme val="minor"/>
      </rPr>
      <t xml:space="preserve">3.1.2: Earth
</t>
    </r>
  </si>
  <si>
    <t>5km</t>
  </si>
  <si>
    <t>Rate</t>
  </si>
  <si>
    <t xml:space="preserve">RM079: Earth Cost or compensation for earth taken from private land
</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</si>
  <si>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Calibri"/>
        <family val="2"/>
        <scheme val="minor"/>
      </rPr>
      <t xml:space="preserve">4.14.1: All kinds of soil.
</t>
    </r>
  </si>
  <si>
    <t>Depth</t>
  </si>
  <si>
    <t>Breadth</t>
  </si>
  <si>
    <t>Length</t>
  </si>
  <si>
    <t>Description</t>
  </si>
  <si>
    <t>HSR
Item No</t>
  </si>
  <si>
    <t>Sr No</t>
  </si>
  <si>
    <t>Quantity</t>
  </si>
  <si>
    <t>Unit</t>
  </si>
  <si>
    <t>Rate Type</t>
  </si>
  <si>
    <t>Amount</t>
  </si>
  <si>
    <t>End</t>
  </si>
  <si>
    <t>Total</t>
  </si>
  <si>
    <t>any +/-</t>
  </si>
  <si>
    <t>Total Amount</t>
  </si>
  <si>
    <t>Add 18% GST</t>
  </si>
  <si>
    <t>Contingency</t>
  </si>
  <si>
    <t>GRAND TOTAL</t>
  </si>
  <si>
    <t>Estimate of Ramfal Building</t>
  </si>
  <si>
    <t>NS -  Pan</t>
  </si>
  <si>
    <t>manual description</t>
  </si>
  <si>
    <t>nos</t>
  </si>
  <si>
    <t>NS</t>
  </si>
  <si>
    <t>Steel Summary (Sample)</t>
  </si>
  <si>
    <t>Quantity (KG)</t>
  </si>
  <si>
    <t>Weight of φ12mm Rebar (Kg)</t>
  </si>
  <si>
    <t>Weight of φ8mm Rebar (Kg)</t>
  </si>
  <si>
    <t>Weight for 32.4 Kg per Sqm (Kg)</t>
  </si>
  <si>
    <t>Weight for 18.361 Kg per Meter (Kg)</t>
  </si>
  <si>
    <t>Weight for 6.8 Kg per Meter (Kg)</t>
  </si>
  <si>
    <t>Weight for 7.21785 Kg per Meter (Kg)</t>
  </si>
  <si>
    <t>Abstract Summary of: Sample</t>
  </si>
  <si>
    <t>Sr.</t>
  </si>
  <si>
    <t>Item No</t>
  </si>
  <si>
    <t>Qty</t>
  </si>
  <si>
    <t>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4.14.1: All kinds of soil.
(Through Rate)</t>
  </si>
  <si>
    <t>RM079: Earth Cost or compensation for earth taken from private land
(Rate)</t>
  </si>
  <si>
    <t>3.1: Loading, Unloading and Carriage of Materials Schedule A By Mechanical Transport including loading, unloading and stacking
3.1.2: Earth
(5km)</t>
  </si>
  <si>
    <t>3.1: Loading, Unloading and Carriage of Materials Schedule A By Mechanical Transport including loading, unloading and stacking
3.1.2: Earth
(Beyond 5km up to 10km per KM)</t>
  </si>
  <si>
    <t>6.33: Steel reinforcement for R.C.C. work, where not included in the complete rate of RCC, including straightening, cutting, bending, placing in position, binding, wastage, overlaps, welded joints, spacer bars, chairs, stays, hangers and annealed steel wire etc. complete in all respect for all heights/depths/storeys/basements etc. complete in all respect below plinth level.  Note: - Reinforcement shall be measured in length including hooks, if any, separately for different diameters as actually used in work, excluding overlaps. Wastage, overlaps, couplings, welded joints, spacer bars, chairs, stays, hangers and annealed steel wire or other methods of binding and placing shall not be measured and cost of these items shall be deemed to be included in the rates for reinforcement.
6.33.6: Thermo-Mechanically Treated bars of grade Fe-500D or more.
(Through Rate Amnd)</t>
  </si>
  <si>
    <t>13.31: Steel and Iron Work SIGLE/BUILT-UP STEEL/TUBULAR SECTIONS Providing and fixing mild steel round holding down bolts with nuts and washer plates complete.
(Through Rate)</t>
  </si>
  <si>
    <t>13.30: Steel and Iron Work SIGLE/BUILT-UP STEEL/TUBULAR SECTIONS Steel work in built up tubular (round, square or rectangular hollow tubes etc.) trusses etc., including cutting, hoisting, fixing in position and applying a priming coat of approved steel primer, including welding and bolted with special shaped washers etc. complete.
13.30.1: Hot finished welded type tubes
(Through Rate)</t>
  </si>
  <si>
    <t>7.22: Brick work with common burnt clay non- modular bricks of class designation 7.5 in superstructure above plinth level up to floor IV level in all shapes and sizes in :
7.22.2: Cement mortar 1:6 (1 cement : 6 coarse sand)
(Through Rate Amnd)</t>
  </si>
  <si>
    <t>9.59: Hoisting and Roofing RAIN WATER SPOUTS AND PIPES 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9.59.2: 110 mm
(Through Rate)</t>
  </si>
  <si>
    <t>22.181: Sanitary Installations LOFT AND TERRACE WATER TANKS Providing and placing on terrace (at all floor levels) polyethylene water storage tank, IS : 12701 marked, with cover and suitable locking arrangement and making necessary holes for inlet, outlet and overflow pipes but without fittings and the base support for tank.
(Through Rate)</t>
  </si>
  <si>
    <t>22.222: Sanitary Installations HDPE pipes for Drainage Providing and fixing in position singel socket SWR UPVC soil waste or antisyphonage pipes as per IS 13592 of E.D.C manufacture or of any other reputed firm including cutting, jointing, wastage, but excluding cost of jointing.
22.222.2.2: Single Socket Type B  110mm o/d SWR UPVC pipe lines laid complete
(Through Rate)</t>
  </si>
  <si>
    <t>manual description(NS)</t>
  </si>
  <si>
    <t>Material</t>
  </si>
  <si>
    <t>Gst</t>
  </si>
  <si>
    <t>Amount + Gst</t>
  </si>
  <si>
    <t>φ8mm Rebar (Ring (15*15))</t>
  </si>
  <si>
    <t>φ12mm Rebar (Thermo-Mechanic)</t>
  </si>
  <si>
    <t>Cement (Bags)</t>
  </si>
  <si>
    <t>Tibba Sand (Cft)</t>
  </si>
  <si>
    <t>Cresher (Cft)</t>
  </si>
  <si>
    <t>Bricks Non Modular (Nos)</t>
  </si>
  <si>
    <t>Pvc Pipe Clips 110mm (Each)</t>
  </si>
  <si>
    <t>Ms Bolt &amp; Plate (Kg)</t>
  </si>
  <si>
    <t>Tublar Pipe (Kg)</t>
  </si>
  <si>
    <t>UPVC pipe 110mm dia</t>
  </si>
  <si>
    <t>water storage tanki</t>
  </si>
  <si>
    <t>Bags</t>
  </si>
  <si>
    <t>Cft</t>
  </si>
  <si>
    <t>NS -  PAN :- manual description</t>
  </si>
  <si>
    <t>Total Amount for Materials</t>
  </si>
  <si>
    <t>Labour</t>
  </si>
  <si>
    <t>Grand Total</t>
  </si>
  <si>
    <t xml:space="preserve">Grand Total (including GST) : </t>
  </si>
  <si>
    <t>STEEL</t>
  </si>
  <si>
    <t>HSR</t>
  </si>
  <si>
    <t>6.34.6</t>
  </si>
  <si>
    <t>steel weight</t>
  </si>
  <si>
    <t>Total (kg)</t>
  </si>
  <si>
    <r>
      <t xml:space="preserve">6.34: Steel reinforcement for R.C.C. work, where not included in the complete rate of RCC, including straightening, cutting, bending, placing in position, binding, wastage, overlaps, welded joints, spacer bars, chairs, stays, hangers and annealed steel wire etc. complete in all respect above plinth level. Note:- Reinforcement shall be measured in length including hooks, if any, separately for different diameters as actually used in work , excluding overlaps. Wastage, overlaps, couplings, welded joints, spacer bars, chairs, stays, hangers and annealed steel wire or other methods of binding &amp; placing shall not be measured and cost of these items shall be deemed to be included in the rates for reinforcement.
</t>
    </r>
    <r>
      <rPr>
        <b/>
        <i/>
        <sz val="9"/>
        <color rgb="FF8B0000"/>
        <rFont val="Calibri"/>
        <family val="2"/>
        <scheme val="minor"/>
      </rPr>
      <t xml:space="preserve">6.34.6: Thermo-Mechanically Treated bars of grade Fe-500D or more.
</t>
    </r>
  </si>
  <si>
    <t>6.34: Steel reinforcement for R.C.C. work, where not included in the complete rate of RCC, including straightening, cutting, bending, placing in position, binding, wastage, overlaps, welded joints, spacer bars, chairs, stays, hangers and annealed steel wire etc. complete in all respect above plinth level. Note:- Reinforcement shall be measured in length including hooks, if any, separately for different diameters as actually used in work , excluding overlaps. Wastage, overlaps, couplings, welded joints, spacer bars, chairs, stays, hangers and annealed steel wire or other methods of binding &amp; placing shall not be measured and cost of these items shall be deemed to be included in the rates for reinforcement.
6.34.6: Thermo-Mechanically Treated bars of grade Fe-500D or more.
(Through Rate Amnd)</t>
  </si>
  <si>
    <t>CA044</t>
  </si>
  <si>
    <t>Columns</t>
  </si>
  <si>
    <t xml:space="preserve">CA044: Spun iron S &amp; S pipes 125 mm dia
</t>
  </si>
  <si>
    <t>100 meters</t>
  </si>
  <si>
    <t>Total (Per 100 meters)</t>
  </si>
  <si>
    <t>CA044: Spun iron S &amp; S pipes 125 mm dia
(Rate)</t>
  </si>
  <si>
    <t>CA044 :- : Spun iron S &amp; S pipes 125 mm 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</si>
</sst>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quot;&quot;"/>
    <numFmt numFmtId="166" formatCode="#,##0.000"/>
    <numFmt numFmtId="167" formatCode="_(* #,##0_);_(* \(#,##0\);_(* &quot;-&quot;??_);_(@_)"/>
    <numFmt numFmtId="168" formatCode="0.000%"/>
    <numFmt numFmtId="169" formatCode="_(* #,##0_);_(* \-#,##0_);_(* &quot;-&quot;??_);_(@_)"/>
  </numFmts>
  <fonts count="33" x14ac:knownFonts="1">
    <font>
      <sz val="11"/>
      <color theme="1"/>
      <name val="Calibri"/>
      <family val="2"/>
      <scheme val="minor"/>
    </font>
    <font>
      <b/>
      <sz val="11"/>
      <color theme="1"/>
      <name val="Calibri"/>
      <family val="2"/>
      <scheme val="minor"/>
    </font>
    <font>
      <b/>
      <sz val="12"/>
      <name val="Times New Roman"/>
      <family val="1"/>
    </font>
    <font>
      <sz val="12"/>
      <name val="Times New Roman"/>
      <family val="1"/>
    </font>
    <font>
      <b/>
      <i/>
      <sz val="12"/>
      <color rgb="FFFF0000"/>
      <name val="Times New Roman"/>
      <family val="1"/>
    </font>
    <font>
      <b/>
      <i/>
      <sz val="10"/>
      <color rgb="FF006400"/>
      <name val="Times New Roman"/>
      <family val="1"/>
    </font>
    <font>
      <b/>
      <i/>
      <sz val="9"/>
      <color rgb="FF8B0000"/>
      <name val="Times New Roman"/>
      <family val="1"/>
    </font>
    <font>
      <sz val="11"/>
      <name val="Times New Roman"/>
      <family val="1"/>
    </font>
    <font>
      <b/>
      <sz val="11"/>
      <name val="Times New Roman"/>
      <family val="1"/>
    </font>
    <font>
      <b/>
      <i/>
      <sz val="8"/>
      <color rgb="FF800080"/>
      <name val="Times New Roman"/>
      <family val="1"/>
    </font>
    <font>
      <sz val="11"/>
      <color theme="1"/>
      <name val="Times New Roman"/>
      <family val="1"/>
    </font>
    <font>
      <b/>
      <sz val="11"/>
      <color theme="1"/>
      <name val="Times New Roman"/>
      <family val="1"/>
    </font>
    <font>
      <b/>
      <i/>
      <sz val="11"/>
      <color rgb="FFFF0000"/>
      <name val="Times New Roman"/>
      <family val="1"/>
    </font>
    <font>
      <b/>
      <sz val="11"/>
      <color rgb="FF7030A0"/>
      <name val="Times New Roman"/>
      <family val="1"/>
    </font>
    <font>
      <b/>
      <sz val="11"/>
      <color rgb="FF00B050"/>
      <name val="Times New Roman"/>
      <family val="1"/>
    </font>
    <font>
      <b/>
      <i/>
      <sz val="10"/>
      <color rgb="FF006400"/>
      <name val="Calibri"/>
      <family val="2"/>
      <scheme val="minor"/>
    </font>
    <font>
      <b/>
      <i/>
      <sz val="9"/>
      <color rgb="FF8B0000"/>
      <name val="Calibri"/>
      <family val="2"/>
      <scheme val="minor"/>
    </font>
    <font>
      <b/>
      <sz val="11"/>
      <color rgb="FFFF0000"/>
      <name val="Calibri"/>
      <family val="2"/>
      <scheme val="minor"/>
    </font>
    <font>
      <b/>
      <sz val="12"/>
      <color theme="1"/>
      <name val="Calibri"/>
      <family val="2"/>
      <scheme val="minor"/>
    </font>
    <font>
      <b/>
      <sz val="12"/>
      <color theme="1"/>
      <name val="Times New Roman"/>
      <family val="1"/>
    </font>
    <font>
      <b/>
      <sz val="12"/>
      <color rgb="FFFF0000"/>
      <name val="Times New Roman"/>
      <family val="1"/>
    </font>
    <font>
      <b/>
      <sz val="11"/>
      <color rgb="FF00008B"/>
      <name val="Calibri"/>
      <family val="2"/>
      <scheme val="minor"/>
    </font>
    <font>
      <b/>
      <i/>
      <sz val="12"/>
      <color rgb="FF000000"/>
      <name val="Times New Roman"/>
      <family val="1"/>
    </font>
    <font>
      <b/>
      <i/>
      <sz val="14"/>
      <color rgb="FF000000"/>
      <name val="Times New Roman"/>
      <family val="1"/>
    </font>
    <font>
      <b/>
      <sz val="11"/>
      <color rgb="FF000000"/>
      <name val="Times New Roman"/>
      <family val="1"/>
    </font>
    <font>
      <b/>
      <sz val="11"/>
      <color rgb="FF000000"/>
      <name val="Calibri"/>
      <family val="2"/>
      <scheme val="minor"/>
    </font>
    <font>
      <sz val="12"/>
      <color theme="1"/>
      <name val="Calibri"/>
      <family val="2"/>
      <scheme val="minor"/>
    </font>
    <font>
      <b/>
      <sz val="24"/>
      <color theme="1"/>
      <name val="Calibri"/>
      <family val="2"/>
      <scheme val="minor"/>
    </font>
    <font>
      <sz val="10"/>
      <color theme="1"/>
      <name val="Calibri"/>
      <family val="2"/>
      <scheme val="minor"/>
    </font>
    <font>
      <b/>
      <sz val="13"/>
      <color theme="1"/>
      <name val="Calibri"/>
      <family val="2"/>
      <scheme val="minor"/>
    </font>
    <font>
      <b/>
      <sz val="14"/>
      <color rgb="FF000000"/>
      <name val="Times New Roman"/>
      <family val="1"/>
    </font>
    <font>
      <b/>
      <sz val="12"/>
      <color rgb="FF000000"/>
      <name val="Times New Roman"/>
      <family val="1"/>
    </font>
    <font>
      <b/>
      <sz val="11"/>
      <color rgb="FF00008B"/>
      <name val="Times New Roman"/>
      <family val="1"/>
    </font>
  </fonts>
  <fills count="17">
    <fill>
      <patternFill patternType="none"/>
    </fill>
    <fill>
      <patternFill patternType="gray125"/>
    </fill>
    <fill>
      <patternFill patternType="solid">
        <fgColor rgb="FFFFFFC8"/>
        <bgColor indexed="64"/>
      </patternFill>
    </fill>
    <fill>
      <patternFill patternType="solid">
        <fgColor rgb="FFDCFFDC"/>
        <bgColor indexed="64"/>
      </patternFill>
    </fill>
    <fill>
      <patternFill patternType="solid">
        <fgColor rgb="FFDCE6FF"/>
        <bgColor indexed="64"/>
      </patternFill>
    </fill>
    <fill>
      <patternFill patternType="solid">
        <fgColor rgb="FFC8FFC8"/>
        <bgColor indexed="64"/>
      </patternFill>
    </fill>
    <fill>
      <patternFill patternType="solid">
        <fgColor rgb="FFF0F0F0"/>
        <bgColor indexed="64"/>
      </patternFill>
    </fill>
    <fill>
      <patternFill patternType="solid">
        <fgColor rgb="FFFFE699"/>
        <bgColor indexed="64"/>
      </patternFill>
    </fill>
    <fill>
      <patternFill patternType="solid">
        <fgColor rgb="FFFFE6C8"/>
        <bgColor indexed="64"/>
      </patternFill>
    </fill>
    <fill>
      <patternFill patternType="solid">
        <fgColor rgb="FFFFFF99"/>
        <bgColor indexed="64"/>
      </patternFill>
    </fill>
    <fill>
      <patternFill patternType="solid">
        <fgColor rgb="FFFAFA00"/>
        <bgColor indexed="64"/>
      </patternFill>
    </fill>
    <fill>
      <patternFill patternType="solid">
        <fgColor rgb="FFDCB2E2"/>
        <bgColor indexed="64"/>
      </patternFill>
    </fill>
    <fill>
      <patternFill patternType="solid">
        <fgColor rgb="FFE2B2B9"/>
        <bgColor indexed="64"/>
      </patternFill>
    </fill>
    <fill>
      <patternFill patternType="solid">
        <fgColor rgb="FFE2DCB2"/>
        <bgColor indexed="64"/>
      </patternFill>
    </fill>
    <fill>
      <patternFill patternType="solid">
        <fgColor rgb="FFB9E2B2"/>
        <bgColor indexed="64"/>
      </patternFill>
    </fill>
    <fill>
      <patternFill patternType="solid">
        <fgColor rgb="FFB2E2DC"/>
        <bgColor indexed="64"/>
      </patternFill>
    </fill>
    <fill>
      <patternFill patternType="solid">
        <fgColor rgb="FFB2B9E2"/>
        <bgColor indexed="64"/>
      </patternFill>
    </fill>
  </fills>
  <borders count="47">
    <border>
      <left/>
      <right/>
      <top/>
      <bottom/>
      <diagonal/>
    </border>
    <border>
      <left style="thin">
        <color indexed="64"/>
      </left>
      <right style="thin">
        <color indexed="64"/>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style="thin">
        <color indexed="64"/>
      </right>
      <top style="thin">
        <color auto="1"/>
      </top>
      <bottom/>
      <diagonal/>
    </border>
    <border>
      <left style="thin">
        <color indexed="64"/>
      </left>
      <right/>
      <top style="thin">
        <color indexed="64"/>
      </top>
      <bottom/>
      <diagonal/>
    </border>
    <border>
      <left/>
      <right style="thin">
        <color indexed="64"/>
      </right>
      <top style="thin">
        <color auto="1"/>
      </top>
      <bottom/>
      <diagonal/>
    </border>
    <border>
      <left style="thin">
        <color indexed="64"/>
      </left>
      <right style="thin">
        <color indexed="64"/>
      </right>
      <top/>
      <bottom style="thin">
        <color auto="1"/>
      </bottom>
      <diagonal/>
    </border>
    <border>
      <left style="thin">
        <color indexed="64"/>
      </left>
      <right/>
      <top/>
      <bottom style="thin">
        <color indexed="64"/>
      </bottom>
      <diagonal/>
    </border>
    <border>
      <left/>
      <right/>
      <top/>
      <bottom style="thin">
        <color indexed="64"/>
      </bottom>
      <diagonal/>
    </border>
    <border>
      <left style="thick">
        <color indexed="64"/>
      </left>
      <right style="thin">
        <color indexed="64"/>
      </right>
      <top style="thin">
        <color auto="1"/>
      </top>
      <bottom style="thin">
        <color auto="1"/>
      </bottom>
      <diagonal/>
    </border>
    <border>
      <left style="thick">
        <color indexed="64"/>
      </left>
      <right style="thin">
        <color indexed="64"/>
      </right>
      <top style="thick">
        <color auto="1"/>
      </top>
      <bottom style="thin">
        <color auto="1"/>
      </bottom>
      <diagonal/>
    </border>
    <border>
      <left style="thin">
        <color indexed="64"/>
      </left>
      <right style="thin">
        <color indexed="64"/>
      </right>
      <top style="thick">
        <color auto="1"/>
      </top>
      <bottom style="thin">
        <color auto="1"/>
      </bottom>
      <diagonal/>
    </border>
    <border>
      <left/>
      <right style="thin">
        <color indexed="64"/>
      </right>
      <top/>
      <bottom style="thin">
        <color indexed="64"/>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style="thin">
        <color indexed="64"/>
      </left>
      <right style="thin">
        <color auto="1"/>
      </right>
      <top style="thin">
        <color auto="1"/>
      </top>
      <bottom style="thin">
        <color auto="1"/>
      </bottom>
      <diagonal/>
    </border>
    <border>
      <left/>
      <right style="thick">
        <color indexed="64"/>
      </right>
      <top style="thin">
        <color auto="1"/>
      </top>
      <bottom style="thin">
        <color auto="1"/>
      </bottom>
      <diagonal/>
    </border>
    <border>
      <left style="thin">
        <color indexed="64"/>
      </left>
      <right style="thick">
        <color indexed="64"/>
      </right>
      <top style="thin">
        <color auto="1"/>
      </top>
      <bottom style="thin">
        <color auto="1"/>
      </bottom>
      <diagonal/>
    </border>
    <border>
      <left/>
      <right style="thick">
        <color indexed="64"/>
      </right>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ck">
        <color indexed="64"/>
      </right>
      <top style="thick">
        <color auto="1"/>
      </top>
      <bottom style="thin">
        <color auto="1"/>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style="thin">
        <color indexed="64"/>
      </right>
      <top style="thin">
        <color auto="1"/>
      </top>
      <bottom style="thick">
        <color auto="1"/>
      </bottom>
      <diagonal/>
    </border>
    <border>
      <left style="thin">
        <color indexed="64"/>
      </left>
      <right style="thin">
        <color indexed="64"/>
      </right>
      <top style="thin">
        <color auto="1"/>
      </top>
      <bottom style="thick">
        <color auto="1"/>
      </bottom>
      <diagonal/>
    </border>
    <border>
      <left style="thin">
        <color indexed="64"/>
      </left>
      <right style="thick">
        <color indexed="64"/>
      </right>
      <top style="thin">
        <color auto="1"/>
      </top>
      <bottom style="thick">
        <color auto="1"/>
      </bottom>
      <diagonal/>
    </border>
    <border>
      <left style="thin">
        <color indexed="64"/>
      </left>
      <right style="thin">
        <color auto="1"/>
      </right>
      <top/>
      <bottom style="thin">
        <color auto="1"/>
      </bottom>
      <diagonal/>
    </border>
    <border>
      <left style="medium">
        <color auto="1"/>
      </left>
      <right/>
      <top style="thin">
        <color auto="1"/>
      </top>
      <bottom style="thin">
        <color indexed="64"/>
      </bottom>
      <diagonal/>
    </border>
    <border>
      <left style="medium">
        <color auto="1"/>
      </left>
      <right/>
      <top/>
      <bottom style="thin">
        <color indexed="64"/>
      </bottom>
      <diagonal/>
    </border>
    <border>
      <left style="medium">
        <color auto="1"/>
      </left>
      <right style="thin">
        <color indexed="64"/>
      </right>
      <top style="medium">
        <color auto="1"/>
      </top>
      <bottom style="thin">
        <color auto="1"/>
      </bottom>
      <diagonal/>
    </border>
    <border>
      <left style="thin">
        <color indexed="64"/>
      </left>
      <right style="thin">
        <color indexed="64"/>
      </right>
      <top style="medium">
        <color auto="1"/>
      </top>
      <bottom style="thin">
        <color auto="1"/>
      </bottom>
      <diagonal/>
    </border>
    <border>
      <left style="medium">
        <color auto="1"/>
      </left>
      <right/>
      <top style="thin">
        <color auto="1"/>
      </top>
      <bottom style="medium">
        <color indexed="64"/>
      </bottom>
      <diagonal/>
    </border>
    <border>
      <left/>
      <right/>
      <top style="thin">
        <color indexed="64"/>
      </top>
      <bottom style="medium">
        <color indexed="64"/>
      </bottom>
      <diagonal/>
    </border>
    <border>
      <left style="thin">
        <color indexed="64"/>
      </left>
      <right style="thin">
        <color auto="1"/>
      </right>
      <top style="thin">
        <color auto="1"/>
      </top>
      <bottom style="medium">
        <color indexed="64"/>
      </bottom>
      <diagonal/>
    </border>
    <border>
      <left style="thin">
        <color indexed="64"/>
      </left>
      <right style="medium">
        <color auto="1"/>
      </right>
      <top style="medium">
        <color auto="1"/>
      </top>
      <bottom style="thin">
        <color auto="1"/>
      </bottom>
      <diagonal/>
    </border>
    <border>
      <left style="thin">
        <color indexed="64"/>
      </left>
      <right style="medium">
        <color auto="1"/>
      </right>
      <top style="thin">
        <color auto="1"/>
      </top>
      <bottom style="thin">
        <color auto="1"/>
      </bottom>
      <diagonal/>
    </border>
    <border>
      <left/>
      <right style="medium">
        <color auto="1"/>
      </right>
      <top/>
      <bottom style="thin">
        <color indexed="64"/>
      </bottom>
      <diagonal/>
    </border>
    <border>
      <left/>
      <right style="medium">
        <color auto="1"/>
      </right>
      <top style="thin">
        <color auto="1"/>
      </top>
      <bottom style="thin">
        <color auto="1"/>
      </bottom>
      <diagonal/>
    </border>
    <border>
      <left/>
      <right style="medium">
        <color auto="1"/>
      </right>
      <top style="thin">
        <color indexed="64"/>
      </top>
      <bottom style="medium">
        <color indexed="64"/>
      </bottom>
      <diagonal/>
    </border>
    <border diagonalUp="1">
      <left/>
      <right style="medium">
        <color auto="1"/>
      </right>
      <top/>
      <bottom/>
      <diagonal style="mediumDashDot">
        <color rgb="FF000000"/>
      </diagonal>
    </border>
    <border diagonalDown="1">
      <left/>
      <right style="medium">
        <color auto="1"/>
      </right>
      <top/>
      <bottom/>
      <diagonal style="mediumDashDot">
        <color rgb="FF000000"/>
      </diagonal>
    </border>
    <border>
      <left style="mediumDashDot">
        <color rgb="FF000000"/>
      </left>
      <right style="medium">
        <color auto="1"/>
      </right>
      <top/>
      <bottom/>
      <diagonal/>
    </border>
  </borders>
  <cellStyleXfs count="1">
    <xf numFmtId="0" fontId="0" fillId="0" borderId="0"/>
  </cellStyleXfs>
  <cellXfs count="311">
    <xf numFmtId="0" fontId="0" fillId="0" borderId="0" xfId="0"/>
    <xf numFmtId="0" fontId="2" fillId="0" borderId="1" xfId="0" applyFont="1" applyBorder="1" applyAlignment="1">
      <alignment vertical="center" wrapText="1"/>
    </xf>
    <xf numFmtId="0" fontId="3" fillId="0" borderId="1" xfId="0"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2" fontId="3" fillId="2" borderId="1" xfId="0" applyNumberFormat="1" applyFont="1" applyFill="1" applyBorder="1" applyAlignment="1" applyProtection="1">
      <alignment horizontal="right" vertical="center"/>
      <protection locked="0"/>
    </xf>
    <xf numFmtId="0" fontId="2" fillId="0" borderId="1" xfId="0" applyFont="1" applyBorder="1" applyAlignment="1" applyProtection="1">
      <alignment horizontal="left" vertical="center"/>
      <protection locked="0"/>
    </xf>
    <xf numFmtId="0" fontId="4" fillId="0" borderId="1" xfId="0" applyFont="1" applyBorder="1" applyAlignment="1">
      <alignment vertical="center" wrapText="1"/>
    </xf>
    <xf numFmtId="0" fontId="3" fillId="0" borderId="1" xfId="0" applyFont="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2" fillId="4" borderId="1" xfId="0" applyFont="1" applyFill="1" applyBorder="1" applyAlignment="1">
      <alignment vertical="center" wrapText="1"/>
    </xf>
    <xf numFmtId="0" fontId="2" fillId="4"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left" vertical="center"/>
      <protection locked="0"/>
    </xf>
    <xf numFmtId="49" fontId="2" fillId="0" borderId="1" xfId="0" applyNumberFormat="1" applyFont="1" applyBorder="1" applyAlignment="1">
      <alignment horizontal="center" vertical="center"/>
    </xf>
    <xf numFmtId="0" fontId="3" fillId="0" borderId="1" xfId="0" applyFont="1" applyBorder="1" applyAlignment="1">
      <alignment vertical="center"/>
    </xf>
    <xf numFmtId="0" fontId="2" fillId="3" borderId="1" xfId="0"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pplyProtection="1">
      <alignment horizontal="left" vertical="center" wrapText="1"/>
      <protection locked="0"/>
    </xf>
    <xf numFmtId="0" fontId="7" fillId="0" borderId="1" xfId="0" applyFont="1" applyBorder="1" applyAlignment="1">
      <alignment vertical="center"/>
    </xf>
    <xf numFmtId="0" fontId="7" fillId="0" borderId="1" xfId="0" applyFont="1" applyBorder="1" applyAlignment="1">
      <alignment horizontal="center" vertical="center"/>
    </xf>
    <xf numFmtId="2" fontId="7" fillId="0" borderId="1" xfId="0" applyNumberFormat="1" applyFont="1" applyBorder="1" applyAlignment="1">
      <alignment horizontal="center" vertical="center"/>
    </xf>
    <xf numFmtId="0" fontId="8" fillId="0" borderId="1" xfId="0" applyFont="1" applyBorder="1" applyAlignment="1">
      <alignment horizontal="left" vertical="center"/>
    </xf>
    <xf numFmtId="0" fontId="8" fillId="5" borderId="1" xfId="0" applyFont="1" applyFill="1" applyBorder="1" applyAlignment="1">
      <alignment horizontal="center" vertical="center" wrapText="1"/>
    </xf>
    <xf numFmtId="0" fontId="2" fillId="3" borderId="1" xfId="0" applyFont="1" applyFill="1" applyBorder="1" applyAlignment="1" applyProtection="1">
      <alignment vertical="center" wrapText="1"/>
      <protection locked="0"/>
    </xf>
    <xf numFmtId="0" fontId="2" fillId="4" borderId="1" xfId="0" applyFont="1" applyFill="1" applyBorder="1" applyAlignment="1" applyProtection="1">
      <alignment vertical="center" wrapText="1"/>
      <protection locked="0"/>
    </xf>
    <xf numFmtId="0" fontId="8" fillId="3" borderId="1" xfId="0" applyFont="1" applyFill="1" applyBorder="1" applyAlignment="1">
      <alignment horizontal="center" vertical="center"/>
    </xf>
    <xf numFmtId="0" fontId="8" fillId="3" borderId="1" xfId="0" applyFont="1" applyFill="1" applyBorder="1" applyAlignment="1">
      <alignment vertical="center"/>
    </xf>
    <xf numFmtId="0" fontId="8" fillId="3" borderId="1" xfId="0" applyFont="1" applyFill="1" applyBorder="1" applyAlignment="1">
      <alignment horizontal="left" vertical="center"/>
    </xf>
    <xf numFmtId="164" fontId="8" fillId="2" borderId="1" xfId="0" applyNumberFormat="1" applyFont="1" applyFill="1" applyBorder="1" applyAlignment="1" applyProtection="1">
      <alignment horizontal="right" vertical="center"/>
    </xf>
    <xf numFmtId="0" fontId="0" fillId="0" borderId="0" xfId="0" applyAlignment="1">
      <alignment vertical="center"/>
    </xf>
    <xf numFmtId="0" fontId="0" fillId="0" borderId="0" xfId="0" applyAlignment="1">
      <alignment horizontal="center" vertical="center"/>
    </xf>
    <xf numFmtId="2" fontId="8" fillId="3" borderId="1" xfId="0" applyNumberFormat="1" applyFont="1" applyFill="1" applyBorder="1" applyAlignment="1" applyProtection="1">
      <alignment horizontal="center" vertical="center"/>
    </xf>
    <xf numFmtId="0" fontId="2" fillId="4" borderId="1" xfId="0" applyFont="1" applyFill="1" applyBorder="1" applyAlignment="1" applyProtection="1">
      <alignment horizontal="center" vertical="center"/>
    </xf>
    <xf numFmtId="2" fontId="2" fillId="3" borderId="1" xfId="0" applyNumberFormat="1" applyFont="1" applyFill="1" applyBorder="1" applyAlignment="1" applyProtection="1">
      <alignment horizontal="center" vertical="center"/>
    </xf>
    <xf numFmtId="0" fontId="1" fillId="3" borderId="1" xfId="0" applyFont="1" applyFill="1" applyBorder="1" applyAlignment="1">
      <alignment horizontal="left" vertical="center"/>
    </xf>
    <xf numFmtId="0" fontId="1" fillId="4" borderId="1" xfId="0" applyFont="1" applyFill="1" applyBorder="1" applyAlignment="1">
      <alignment vertical="center"/>
    </xf>
    <xf numFmtId="0" fontId="1" fillId="4" borderId="1" xfId="0" applyFont="1" applyFill="1" applyBorder="1" applyAlignment="1" applyProtection="1">
      <alignment horizontal="center" vertical="center"/>
    </xf>
    <xf numFmtId="0" fontId="1" fillId="4" borderId="1" xfId="0" applyFont="1" applyFill="1" applyBorder="1" applyAlignment="1">
      <alignment horizontal="center" vertical="center"/>
    </xf>
    <xf numFmtId="0" fontId="2" fillId="3" borderId="1" xfId="0" applyFont="1" applyFill="1" applyBorder="1" applyAlignment="1" applyProtection="1">
      <alignment horizontal="center" vertical="center"/>
    </xf>
    <xf numFmtId="2" fontId="2" fillId="4" borderId="1" xfId="0" applyNumberFormat="1" applyFont="1" applyFill="1" applyBorder="1" applyAlignment="1" applyProtection="1">
      <alignment horizontal="center" vertical="center"/>
    </xf>
    <xf numFmtId="0" fontId="11" fillId="7" borderId="1" xfId="0" applyFont="1" applyFill="1" applyBorder="1" applyAlignment="1">
      <alignment horizontal="left" vertical="center"/>
    </xf>
    <xf numFmtId="0" fontId="13" fillId="7" borderId="1" xfId="0" applyFont="1" applyFill="1" applyBorder="1" applyAlignment="1" applyProtection="1">
      <alignment horizontal="center" vertical="center" wrapText="1"/>
    </xf>
    <xf numFmtId="0" fontId="1" fillId="7" borderId="1" xfId="0" applyFont="1" applyFill="1" applyBorder="1" applyAlignment="1">
      <alignment horizontal="center" vertical="center"/>
    </xf>
    <xf numFmtId="0" fontId="14" fillId="7" borderId="1" xfId="0" applyFont="1" applyFill="1" applyBorder="1" applyAlignment="1" applyProtection="1">
      <alignment horizontal="center" vertical="center" wrapText="1"/>
    </xf>
    <xf numFmtId="0" fontId="0" fillId="0" borderId="0" xfId="0" applyFill="1"/>
    <xf numFmtId="0" fontId="20" fillId="4" borderId="1" xfId="0" applyFont="1" applyFill="1" applyBorder="1" applyAlignment="1">
      <alignment horizontal="center" vertical="center" wrapText="1"/>
    </xf>
    <xf numFmtId="0" fontId="1" fillId="0" borderId="1" xfId="0" applyFont="1" applyBorder="1" applyAlignment="1">
      <alignment horizontal="left" vertical="center"/>
    </xf>
    <xf numFmtId="0" fontId="1" fillId="0" borderId="0" xfId="0" applyFont="1"/>
    <xf numFmtId="0" fontId="1" fillId="0" borderId="0" xfId="0" applyFont="1" applyAlignment="1">
      <alignment vertical="center"/>
    </xf>
    <xf numFmtId="49" fontId="19" fillId="0" borderId="1" xfId="0" applyNumberFormat="1" applyFont="1" applyFill="1" applyBorder="1"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15" fillId="0" borderId="1" xfId="0" applyFont="1" applyFill="1" applyBorder="1" applyAlignment="1">
      <alignment vertical="center" wrapText="1"/>
    </xf>
    <xf numFmtId="0" fontId="0" fillId="0" borderId="1" xfId="0" applyBorder="1" applyAlignment="1">
      <alignment vertical="center"/>
    </xf>
    <xf numFmtId="0" fontId="21" fillId="0" borderId="1" xfId="0" applyFont="1" applyFill="1" applyBorder="1" applyAlignment="1">
      <alignment vertical="center" wrapText="1"/>
    </xf>
    <xf numFmtId="0" fontId="1" fillId="3" borderId="1" xfId="0" applyFont="1" applyFill="1" applyBorder="1" applyAlignment="1">
      <alignment vertical="center"/>
    </xf>
    <xf numFmtId="0" fontId="1" fillId="3" borderId="1" xfId="0" applyFont="1" applyFill="1" applyBorder="1" applyAlignment="1" applyProtection="1">
      <alignment horizontal="center" vertical="center"/>
    </xf>
    <xf numFmtId="0" fontId="1" fillId="7" borderId="1" xfId="0" applyFont="1" applyFill="1" applyBorder="1" applyAlignment="1">
      <alignment vertical="center"/>
    </xf>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0" fillId="0" borderId="0" xfId="0" applyFont="1"/>
    <xf numFmtId="0" fontId="10" fillId="0" borderId="0" xfId="0" applyNumberFormat="1" applyFont="1" applyAlignment="1">
      <alignment horizontal="right"/>
    </xf>
    <xf numFmtId="0" fontId="1" fillId="4" borderId="11" xfId="0" applyFont="1" applyFill="1" applyBorder="1" applyAlignment="1">
      <alignment horizontal="center" vertical="center"/>
    </xf>
    <xf numFmtId="0" fontId="1" fillId="7" borderId="19" xfId="0" applyFont="1" applyFill="1" applyBorder="1" applyAlignment="1">
      <alignment horizontal="center" vertical="center"/>
    </xf>
    <xf numFmtId="167" fontId="1" fillId="4" borderId="19" xfId="0" applyNumberFormat="1" applyFont="1" applyFill="1" applyBorder="1" applyAlignment="1" applyProtection="1">
      <alignment horizontal="center" vertical="center"/>
    </xf>
    <xf numFmtId="164" fontId="0" fillId="2" borderId="1" xfId="0" applyNumberFormat="1" applyFill="1" applyBorder="1" applyAlignment="1" applyProtection="1">
      <alignment horizontal="right" vertical="center"/>
    </xf>
    <xf numFmtId="0" fontId="0" fillId="2" borderId="3" xfId="0" applyFill="1" applyBorder="1" applyAlignment="1">
      <alignment horizontal="right" vertical="center"/>
    </xf>
    <xf numFmtId="0" fontId="1" fillId="2" borderId="1" xfId="0" applyFont="1" applyFill="1" applyBorder="1" applyAlignment="1" applyProtection="1">
      <alignment horizontal="right" vertical="center"/>
    </xf>
    <xf numFmtId="164" fontId="1" fillId="2" borderId="1" xfId="0" applyNumberFormat="1" applyFont="1" applyFill="1" applyBorder="1" applyAlignment="1" applyProtection="1">
      <alignment horizontal="right" vertical="center"/>
    </xf>
    <xf numFmtId="166" fontId="1" fillId="2" borderId="1" xfId="0" applyNumberFormat="1" applyFont="1" applyFill="1" applyBorder="1" applyAlignment="1">
      <alignment horizontal="right" vertical="center"/>
    </xf>
    <xf numFmtId="164" fontId="3" fillId="2" borderId="1" xfId="0" applyNumberFormat="1" applyFont="1" applyFill="1" applyBorder="1" applyAlignment="1" applyProtection="1">
      <alignment horizontal="right" vertical="center"/>
    </xf>
    <xf numFmtId="2" fontId="2" fillId="2" borderId="1" xfId="0" applyNumberFormat="1" applyFont="1" applyFill="1" applyBorder="1" applyAlignment="1" applyProtection="1">
      <alignment horizontal="right" vertical="center"/>
    </xf>
    <xf numFmtId="164" fontId="2" fillId="2" borderId="1" xfId="0" applyNumberFormat="1" applyFont="1" applyFill="1" applyBorder="1" applyAlignment="1" applyProtection="1">
      <alignment horizontal="right" vertical="center"/>
    </xf>
    <xf numFmtId="0" fontId="1" fillId="5" borderId="1" xfId="0" applyFont="1" applyFill="1" applyBorder="1" applyAlignment="1">
      <alignment horizontal="center" vertical="center" wrapText="1"/>
    </xf>
    <xf numFmtId="0" fontId="0" fillId="5" borderId="3" xfId="0" applyFill="1" applyBorder="1" applyAlignment="1">
      <alignment horizontal="center" vertical="center" wrapText="1"/>
    </xf>
    <xf numFmtId="0" fontId="17" fillId="5" borderId="1" xfId="0" applyFont="1" applyFill="1" applyBorder="1" applyAlignment="1">
      <alignment horizontal="center" vertical="center" wrapText="1"/>
    </xf>
    <xf numFmtId="0" fontId="0" fillId="8" borderId="3" xfId="0" applyFill="1" applyBorder="1" applyAlignment="1">
      <alignment horizontal="right" vertical="center"/>
    </xf>
    <xf numFmtId="0" fontId="1" fillId="8" borderId="1" xfId="0" applyFont="1" applyFill="1" applyBorder="1" applyAlignment="1">
      <alignment horizontal="right" vertical="center"/>
    </xf>
    <xf numFmtId="0" fontId="1" fillId="8" borderId="1" xfId="0" applyFont="1" applyFill="1" applyBorder="1" applyAlignment="1" applyProtection="1">
      <alignment horizontal="right" vertical="center"/>
    </xf>
    <xf numFmtId="0" fontId="1" fillId="4" borderId="1" xfId="0" applyFont="1" applyFill="1" applyBorder="1" applyAlignment="1">
      <alignment horizontal="left" vertical="center"/>
    </xf>
    <xf numFmtId="0" fontId="1" fillId="4" borderId="1" xfId="0" applyFont="1" applyFill="1" applyBorder="1" applyAlignment="1">
      <alignment horizontal="left" vertical="center" wrapText="1"/>
    </xf>
    <xf numFmtId="0" fontId="25" fillId="9" borderId="10" xfId="0" applyFont="1" applyFill="1" applyBorder="1" applyAlignment="1">
      <alignment horizontal="centerContinuous"/>
    </xf>
    <xf numFmtId="0" fontId="24" fillId="9" borderId="15" xfId="0" applyFont="1" applyFill="1" applyBorder="1" applyAlignment="1">
      <alignment horizontal="centerContinuous" vertical="center" wrapText="1"/>
    </xf>
    <xf numFmtId="168" fontId="25" fillId="9" borderId="3" xfId="0" applyNumberFormat="1" applyFont="1" applyFill="1" applyBorder="1" applyAlignment="1">
      <alignment horizontal="centerContinuous" vertical="center"/>
    </xf>
    <xf numFmtId="169" fontId="25" fillId="9" borderId="18" xfId="0" applyNumberFormat="1" applyFont="1" applyFill="1" applyBorder="1" applyAlignment="1">
      <alignment horizontal="center" vertical="center"/>
    </xf>
    <xf numFmtId="0" fontId="25" fillId="9" borderId="3" xfId="0" applyFont="1" applyFill="1" applyBorder="1" applyAlignment="1">
      <alignment horizontal="centerContinuous"/>
    </xf>
    <xf numFmtId="167" fontId="25" fillId="9" borderId="18" xfId="0" applyNumberFormat="1" applyFont="1" applyFill="1" applyBorder="1" applyAlignment="1">
      <alignment horizontal="center" vertical="center"/>
    </xf>
    <xf numFmtId="0" fontId="24" fillId="9" borderId="21" xfId="0" applyFont="1" applyFill="1" applyBorder="1" applyAlignment="1">
      <alignment horizontal="centerContinuous" wrapText="1"/>
    </xf>
    <xf numFmtId="0" fontId="25" fillId="9" borderId="22" xfId="0" applyFont="1" applyFill="1" applyBorder="1" applyAlignment="1">
      <alignment horizontal="centerContinuous"/>
    </xf>
    <xf numFmtId="167" fontId="25" fillId="9" borderId="23" xfId="0" applyNumberFormat="1" applyFont="1" applyFill="1" applyBorder="1"/>
    <xf numFmtId="1" fontId="19" fillId="0" borderId="11" xfId="0" applyNumberFormat="1" applyFont="1" applyFill="1" applyBorder="1" applyAlignment="1" applyProtection="1">
      <alignment horizontal="center" vertical="center"/>
    </xf>
    <xf numFmtId="1" fontId="19" fillId="7" borderId="11" xfId="0" applyNumberFormat="1" applyFont="1" applyFill="1" applyBorder="1" applyAlignment="1" applyProtection="1">
      <alignment horizontal="center" vertical="center"/>
    </xf>
    <xf numFmtId="1" fontId="19" fillId="4" borderId="11" xfId="0" applyNumberFormat="1" applyFont="1" applyFill="1" applyBorder="1" applyAlignment="1" applyProtection="1">
      <alignment horizontal="center" vertical="center"/>
    </xf>
    <xf numFmtId="0" fontId="0" fillId="2" borderId="1" xfId="0" applyFill="1" applyBorder="1" applyAlignment="1">
      <alignment horizontal="right" vertical="center"/>
    </xf>
    <xf numFmtId="0" fontId="0" fillId="5" borderId="1" xfId="0" applyFill="1" applyBorder="1" applyAlignment="1">
      <alignment horizontal="center" vertical="center" wrapText="1"/>
    </xf>
    <xf numFmtId="0" fontId="0" fillId="8" borderId="1" xfId="0" applyFill="1" applyBorder="1" applyAlignment="1">
      <alignment horizontal="right" vertical="center"/>
    </xf>
    <xf numFmtId="165" fontId="1" fillId="8" borderId="1" xfId="0" applyNumberFormat="1" applyFont="1" applyFill="1" applyBorder="1" applyAlignment="1" applyProtection="1">
      <alignment horizontal="right" vertical="center"/>
    </xf>
    <xf numFmtId="0" fontId="0" fillId="6" borderId="1" xfId="0" applyFill="1" applyBorder="1" applyAlignment="1">
      <alignment vertical="center"/>
    </xf>
    <xf numFmtId="0" fontId="0" fillId="6" borderId="1" xfId="0" applyFill="1" applyBorder="1" applyAlignment="1">
      <alignment horizontal="center" vertical="center"/>
    </xf>
    <xf numFmtId="0" fontId="1" fillId="6" borderId="1" xfId="0" applyFont="1" applyFill="1" applyBorder="1" applyAlignment="1">
      <alignment horizontal="left" vertical="center"/>
    </xf>
    <xf numFmtId="0" fontId="12" fillId="0" borderId="1" xfId="0" applyFont="1" applyBorder="1" applyAlignment="1">
      <alignment vertical="center"/>
    </xf>
    <xf numFmtId="49" fontId="2" fillId="0" borderId="1" xfId="0" applyNumberFormat="1" applyFont="1" applyFill="1" applyBorder="1" applyAlignment="1">
      <alignment horizontal="center" vertical="center"/>
    </xf>
    <xf numFmtId="0" fontId="5" fillId="0" borderId="1" xfId="0" applyFont="1" applyFill="1" applyBorder="1" applyAlignment="1">
      <alignment vertical="center" wrapText="1"/>
    </xf>
    <xf numFmtId="0" fontId="2" fillId="5" borderId="1" xfId="0" applyFont="1" applyFill="1" applyBorder="1" applyAlignment="1" applyProtection="1">
      <alignment horizontal="center" vertical="center" wrapText="1"/>
      <protection locked="0"/>
    </xf>
    <xf numFmtId="0" fontId="3" fillId="6" borderId="1" xfId="0" applyFont="1" applyFill="1" applyBorder="1" applyAlignment="1" applyProtection="1">
      <alignment vertical="center" wrapText="1"/>
      <protection locked="0"/>
    </xf>
    <xf numFmtId="0" fontId="3" fillId="6" borderId="1" xfId="0" applyFont="1" applyFill="1" applyBorder="1" applyAlignment="1" applyProtection="1">
      <alignment horizontal="center" vertical="center"/>
      <protection locked="0"/>
    </xf>
    <xf numFmtId="2" fontId="3" fillId="6" borderId="1" xfId="0" applyNumberFormat="1" applyFont="1" applyFill="1" applyBorder="1" applyAlignment="1" applyProtection="1">
      <alignment horizontal="center" vertical="center"/>
      <protection locked="0"/>
    </xf>
    <xf numFmtId="0" fontId="2" fillId="6" borderId="1" xfId="0" applyFont="1" applyFill="1" applyBorder="1" applyAlignment="1" applyProtection="1">
      <alignment horizontal="left" vertical="center"/>
      <protection locked="0"/>
    </xf>
    <xf numFmtId="0" fontId="3" fillId="5" borderId="1" xfId="0" applyFont="1" applyFill="1" applyBorder="1" applyAlignment="1" applyProtection="1">
      <alignment horizontal="center" vertical="center" wrapText="1"/>
      <protection locked="0"/>
    </xf>
    <xf numFmtId="49" fontId="2" fillId="0" borderId="1" xfId="0" applyNumberFormat="1" applyFont="1" applyFill="1" applyBorder="1" applyAlignment="1">
      <alignment horizontal="center" vertical="center" wrapText="1"/>
    </xf>
    <xf numFmtId="2" fontId="8" fillId="2" borderId="1" xfId="0" applyNumberFormat="1" applyFont="1" applyFill="1" applyBorder="1" applyAlignment="1" applyProtection="1">
      <alignment horizontal="right" vertical="center"/>
    </xf>
    <xf numFmtId="1" fontId="19" fillId="0" borderId="11" xfId="0" applyNumberFormat="1" applyFont="1" applyBorder="1" applyAlignment="1" applyProtection="1">
      <alignment horizontal="center" vertical="center"/>
    </xf>
    <xf numFmtId="1" fontId="19" fillId="3" borderId="11" xfId="0" applyNumberFormat="1" applyFont="1" applyFill="1" applyBorder="1" applyAlignment="1" applyProtection="1">
      <alignment horizontal="center" vertical="center"/>
    </xf>
    <xf numFmtId="1" fontId="19" fillId="6" borderId="11" xfId="0" applyNumberFormat="1" applyFont="1" applyFill="1" applyBorder="1" applyAlignment="1" applyProtection="1">
      <alignment horizontal="center" vertical="center"/>
    </xf>
    <xf numFmtId="0" fontId="1" fillId="0" borderId="24" xfId="0" applyFont="1" applyFill="1" applyBorder="1" applyAlignment="1">
      <alignment horizontal="center" vertical="center" wrapText="1"/>
    </xf>
    <xf numFmtId="0" fontId="1" fillId="0" borderId="19" xfId="0" applyFont="1" applyBorder="1" applyAlignment="1">
      <alignment horizontal="center" vertical="center"/>
    </xf>
    <xf numFmtId="0" fontId="1" fillId="3" borderId="19" xfId="0" applyFont="1" applyFill="1" applyBorder="1" applyAlignment="1">
      <alignment horizontal="center" vertical="center"/>
    </xf>
    <xf numFmtId="0" fontId="1" fillId="6" borderId="19" xfId="0" applyFont="1" applyFill="1" applyBorder="1" applyAlignment="1">
      <alignment horizontal="center" vertical="center"/>
    </xf>
    <xf numFmtId="0" fontId="1" fillId="4" borderId="19" xfId="0" applyFont="1" applyFill="1" applyBorder="1" applyAlignment="1">
      <alignment horizontal="center" vertical="center"/>
    </xf>
    <xf numFmtId="0" fontId="24" fillId="9" borderId="16" xfId="0" applyFont="1" applyFill="1" applyBorder="1" applyAlignment="1">
      <alignment horizontal="centerContinuous" vertical="center" wrapText="1"/>
    </xf>
    <xf numFmtId="167" fontId="25" fillId="9" borderId="20" xfId="0" applyNumberFormat="1" applyFont="1" applyFill="1" applyBorder="1" applyAlignment="1">
      <alignment horizontal="center" vertical="center"/>
    </xf>
    <xf numFmtId="0" fontId="0" fillId="6" borderId="25" xfId="0" applyFill="1" applyBorder="1" applyAlignment="1">
      <alignment horizontal="center" vertical="center"/>
    </xf>
    <xf numFmtId="0" fontId="0" fillId="6" borderId="26" xfId="0" applyFill="1" applyBorder="1" applyAlignment="1">
      <alignment vertical="center"/>
    </xf>
    <xf numFmtId="0" fontId="0" fillId="6" borderId="26" xfId="0" applyFill="1" applyBorder="1" applyAlignment="1">
      <alignment horizontal="center" vertical="center"/>
    </xf>
    <xf numFmtId="0" fontId="0" fillId="6" borderId="26" xfId="0" applyFont="1" applyFill="1" applyBorder="1" applyAlignment="1">
      <alignment horizontal="center" vertical="center"/>
    </xf>
    <xf numFmtId="0" fontId="0" fillId="6" borderId="26" xfId="0" applyFont="1" applyFill="1" applyBorder="1" applyAlignment="1">
      <alignment vertical="center"/>
    </xf>
    <xf numFmtId="0" fontId="1" fillId="6" borderId="27" xfId="0" applyFont="1"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vertical="center"/>
    </xf>
    <xf numFmtId="0" fontId="1" fillId="0" borderId="3" xfId="0" applyFont="1" applyFill="1" applyBorder="1" applyAlignment="1">
      <alignment horizontal="left" vertical="center"/>
    </xf>
    <xf numFmtId="0" fontId="1" fillId="0" borderId="18" xfId="0" applyFont="1" applyFill="1" applyBorder="1" applyAlignment="1">
      <alignment horizontal="center" vertical="center"/>
    </xf>
    <xf numFmtId="0" fontId="3" fillId="0" borderId="2" xfId="0" applyFont="1" applyFill="1" applyBorder="1" applyAlignment="1" applyProtection="1">
      <alignment horizontal="center" vertical="center"/>
      <protection locked="0"/>
    </xf>
    <xf numFmtId="0" fontId="3" fillId="0" borderId="3" xfId="0" applyFont="1" applyFill="1" applyBorder="1" applyAlignment="1" applyProtection="1">
      <alignment horizontal="center" vertical="center"/>
      <protection locked="0"/>
    </xf>
    <xf numFmtId="2" fontId="3" fillId="0" borderId="3" xfId="0" applyNumberFormat="1" applyFont="1" applyFill="1" applyBorder="1" applyAlignment="1" applyProtection="1">
      <alignment horizontal="center" vertical="center"/>
      <protection locked="0"/>
    </xf>
    <xf numFmtId="2" fontId="3" fillId="2" borderId="3" xfId="0" applyNumberFormat="1" applyFont="1" applyFill="1" applyBorder="1" applyAlignment="1" applyProtection="1">
      <alignment horizontal="right" vertical="center"/>
      <protection locked="0"/>
    </xf>
    <xf numFmtId="0" fontId="2" fillId="0" borderId="3" xfId="0" applyFont="1" applyFill="1" applyBorder="1" applyAlignment="1" applyProtection="1">
      <alignment horizontal="left" vertical="center"/>
      <protection locked="0"/>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2" fontId="7" fillId="0" borderId="3" xfId="0" applyNumberFormat="1" applyFont="1" applyFill="1" applyBorder="1" applyAlignment="1">
      <alignment horizontal="center" vertical="center"/>
    </xf>
    <xf numFmtId="2" fontId="8" fillId="2" borderId="3" xfId="0" applyNumberFormat="1" applyFont="1" applyFill="1" applyBorder="1" applyAlignment="1">
      <alignment horizontal="right" vertical="center"/>
    </xf>
    <xf numFmtId="0" fontId="8" fillId="0" borderId="3" xfId="0" applyFont="1" applyFill="1" applyBorder="1" applyAlignment="1">
      <alignment horizontal="left" vertical="center"/>
    </xf>
    <xf numFmtId="0" fontId="8" fillId="5" borderId="3" xfId="0" applyFont="1" applyFill="1" applyBorder="1" applyAlignment="1">
      <alignment horizontal="center" vertical="center" wrapText="1"/>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8" fillId="0" borderId="1" xfId="0" applyNumberFormat="1" applyFont="1" applyBorder="1" applyAlignment="1">
      <alignment horizontal="center" vertical="center"/>
    </xf>
    <xf numFmtId="49" fontId="2" fillId="6" borderId="1" xfId="0" applyNumberFormat="1" applyFont="1" applyFill="1" applyBorder="1" applyAlignment="1">
      <alignment horizontal="center" vertical="center"/>
    </xf>
    <xf numFmtId="49" fontId="8" fillId="3" borderId="1" xfId="0" applyNumberFormat="1" applyFont="1" applyFill="1" applyBorder="1" applyAlignment="1">
      <alignment horizontal="center" vertical="center"/>
    </xf>
    <xf numFmtId="49" fontId="1" fillId="6" borderId="26" xfId="0" applyNumberFormat="1" applyFont="1" applyFill="1" applyBorder="1" applyAlignment="1">
      <alignment horizontal="center" vertical="center"/>
    </xf>
    <xf numFmtId="49" fontId="19" fillId="0" borderId="13" xfId="0" applyNumberFormat="1" applyFont="1" applyFill="1" applyBorder="1" applyAlignment="1">
      <alignment horizontal="center" vertical="center" wrapText="1"/>
    </xf>
    <xf numFmtId="0" fontId="27" fillId="0" borderId="0" xfId="0" applyFont="1" applyBorder="1" applyAlignment="1">
      <alignment horizontal="center" vertical="center"/>
    </xf>
    <xf numFmtId="0" fontId="0" fillId="0" borderId="1" xfId="0" applyFill="1" applyBorder="1" applyAlignment="1">
      <alignment vertical="center" wrapText="1"/>
    </xf>
    <xf numFmtId="167" fontId="1" fillId="4" borderId="19" xfId="0" applyNumberFormat="1" applyFont="1" applyFill="1" applyBorder="1" applyAlignment="1">
      <alignment horizontal="right" vertical="center"/>
    </xf>
    <xf numFmtId="0" fontId="28" fillId="0" borderId="1" xfId="0" applyFont="1" applyBorder="1" applyAlignment="1">
      <alignment horizontal="centerContinuous" vertical="center"/>
    </xf>
    <xf numFmtId="164" fontId="0" fillId="0" borderId="0" xfId="0" applyNumberFormat="1"/>
    <xf numFmtId="0" fontId="28" fillId="0" borderId="11" xfId="0" applyFont="1" applyBorder="1" applyAlignment="1">
      <alignment horizontal="centerContinuous" vertical="center"/>
    </xf>
    <xf numFmtId="0" fontId="18" fillId="10" borderId="12" xfId="0" applyFont="1" applyFill="1" applyBorder="1" applyAlignment="1">
      <alignment horizontal="centerContinuous" vertical="center"/>
    </xf>
    <xf numFmtId="0" fontId="18" fillId="10" borderId="13" xfId="0" applyFont="1" applyFill="1" applyBorder="1" applyAlignment="1">
      <alignment horizontal="centerContinuous" vertical="center"/>
    </xf>
    <xf numFmtId="0" fontId="26" fillId="10" borderId="28" xfId="0" applyFont="1" applyFill="1" applyBorder="1" applyAlignment="1">
      <alignment horizontal="centerContinuous" vertical="center"/>
    </xf>
    <xf numFmtId="0" fontId="26" fillId="10" borderId="29" xfId="0" applyFont="1" applyFill="1" applyBorder="1" applyAlignment="1">
      <alignment horizontal="centerContinuous" vertical="center"/>
    </xf>
    <xf numFmtId="0" fontId="1" fillId="10" borderId="24" xfId="0" applyFont="1" applyFill="1" applyBorder="1" applyAlignment="1" applyProtection="1">
      <alignment horizontal="center" vertical="center" wrapText="1"/>
    </xf>
    <xf numFmtId="164" fontId="26" fillId="0" borderId="19" xfId="0" applyNumberFormat="1" applyFont="1" applyBorder="1" applyAlignment="1" applyProtection="1">
      <alignment horizontal="right" vertical="center"/>
    </xf>
    <xf numFmtId="164" fontId="26" fillId="10" borderId="30" xfId="0" applyNumberFormat="1" applyFont="1" applyFill="1" applyBorder="1" applyAlignment="1" applyProtection="1">
      <alignment horizontal="right" vertical="center"/>
    </xf>
    <xf numFmtId="0" fontId="29" fillId="0" borderId="1" xfId="0" applyFont="1" applyBorder="1" applyAlignment="1">
      <alignment horizontal="centerContinuous"/>
    </xf>
    <xf numFmtId="0" fontId="25" fillId="2" borderId="14" xfId="0" applyFont="1" applyFill="1" applyBorder="1" applyAlignment="1">
      <alignment horizontal="center" vertical="center"/>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0" fillId="0" borderId="5" xfId="0" applyBorder="1"/>
    <xf numFmtId="4" fontId="0" fillId="0" borderId="6" xfId="0" applyNumberFormat="1" applyBorder="1"/>
    <xf numFmtId="0" fontId="0" fillId="0" borderId="7" xfId="0" applyBorder="1" applyAlignment="1">
      <alignment horizontal="left"/>
    </xf>
    <xf numFmtId="0" fontId="0" fillId="0" borderId="5" xfId="0" applyBorder="1" applyAlignment="1">
      <alignment horizontal="left"/>
    </xf>
    <xf numFmtId="0" fontId="0" fillId="0" borderId="5" xfId="0" applyBorder="1" applyAlignment="1">
      <alignment horizontal="left" wrapText="1"/>
    </xf>
    <xf numFmtId="1" fontId="0" fillId="0" borderId="4" xfId="0" applyNumberFormat="1" applyBorder="1" applyAlignment="1">
      <alignment horizontal="left" vertical="center"/>
    </xf>
    <xf numFmtId="0" fontId="0" fillId="0" borderId="1" xfId="0" applyNumberFormat="1" applyBorder="1" applyAlignment="1">
      <alignment horizontal="left" vertical="center" wrapText="1"/>
    </xf>
    <xf numFmtId="1" fontId="0" fillId="0" borderId="7" xfId="0" applyNumberFormat="1" applyBorder="1" applyAlignment="1">
      <alignment horizontal="left" vertical="center"/>
    </xf>
    <xf numFmtId="0" fontId="0" fillId="0" borderId="5" xfId="0" applyNumberFormat="1" applyBorder="1" applyAlignment="1">
      <alignment horizontal="left" vertical="center" wrapText="1"/>
    </xf>
    <xf numFmtId="0" fontId="0" fillId="0" borderId="1" xfId="0" applyBorder="1" applyAlignment="1">
      <alignment horizontal="right" vertical="center"/>
    </xf>
    <xf numFmtId="0" fontId="0" fillId="0" borderId="5" xfId="0" applyBorder="1" applyAlignment="1">
      <alignment horizontal="right" vertical="center"/>
    </xf>
    <xf numFmtId="0" fontId="0" fillId="0" borderId="5" xfId="0" applyBorder="1" applyAlignment="1">
      <alignment horizontal="center" vertical="center"/>
    </xf>
    <xf numFmtId="4" fontId="0" fillId="0" borderId="1" xfId="0" applyNumberFormat="1" applyBorder="1" applyAlignment="1">
      <alignment vertical="center"/>
    </xf>
    <xf numFmtId="4" fontId="0" fillId="0" borderId="5" xfId="0" applyNumberFormat="1" applyBorder="1" applyAlignment="1">
      <alignment vertical="center"/>
    </xf>
    <xf numFmtId="3" fontId="0" fillId="0" borderId="2" xfId="0" applyNumberFormat="1" applyBorder="1" applyAlignment="1">
      <alignment vertical="center"/>
    </xf>
    <xf numFmtId="3" fontId="0" fillId="0" borderId="6" xfId="0" applyNumberFormat="1" applyBorder="1" applyAlignment="1">
      <alignment vertical="center"/>
    </xf>
    <xf numFmtId="0" fontId="22" fillId="0" borderId="0" xfId="0" applyNumberFormat="1" applyFont="1" applyAlignment="1">
      <alignment horizontal="centerContinuous" vertical="center" wrapText="1"/>
    </xf>
    <xf numFmtId="0" fontId="23" fillId="0" borderId="0" xfId="0" applyNumberFormat="1" applyFont="1" applyAlignment="1">
      <alignment horizontal="centerContinuous" vertical="center" wrapText="1"/>
    </xf>
    <xf numFmtId="0" fontId="0" fillId="0" borderId="0" xfId="0" applyFill="1" applyBorder="1"/>
    <xf numFmtId="0" fontId="0" fillId="0" borderId="44" xfId="0" applyFill="1" applyBorder="1"/>
    <xf numFmtId="0" fontId="0" fillId="0" borderId="45" xfId="0" applyFill="1" applyBorder="1"/>
    <xf numFmtId="0" fontId="11" fillId="0" borderId="44" xfId="0" applyFont="1" applyFill="1" applyBorder="1" applyAlignment="1">
      <alignment horizontal="right" wrapText="1"/>
    </xf>
    <xf numFmtId="0" fontId="0" fillId="0" borderId="46" xfId="0" applyFill="1" applyBorder="1"/>
    <xf numFmtId="0" fontId="11" fillId="0" borderId="46" xfId="0" applyFont="1" applyFill="1" applyBorder="1" applyAlignment="1">
      <alignment horizontal="center" vertical="center" wrapText="1"/>
    </xf>
    <xf numFmtId="0" fontId="28" fillId="0" borderId="0" xfId="0" applyFont="1" applyFill="1" applyBorder="1" applyAlignment="1">
      <alignment horizontal="centerContinuous" vertical="center"/>
    </xf>
    <xf numFmtId="0" fontId="3" fillId="0" borderId="0" xfId="0" applyFont="1" applyAlignment="1" applyProtection="1">
      <alignment vertical="center"/>
      <protection locked="0"/>
    </xf>
    <xf numFmtId="0" fontId="7" fillId="0" borderId="0" xfId="0" applyFont="1"/>
    <xf numFmtId="0" fontId="3" fillId="0" borderId="0" xfId="0" applyFont="1" applyProtection="1">
      <protection locked="0"/>
    </xf>
    <xf numFmtId="0" fontId="7" fillId="0" borderId="0" xfId="0" applyFont="1" applyAlignment="1">
      <alignment vertical="center"/>
    </xf>
    <xf numFmtId="0" fontId="8" fillId="4" borderId="1" xfId="0" applyFont="1" applyFill="1" applyBorder="1" applyAlignment="1" applyProtection="1">
      <alignment horizontal="center" vertical="center"/>
    </xf>
    <xf numFmtId="0" fontId="7" fillId="0" borderId="0" xfId="0" applyFont="1" applyFill="1"/>
    <xf numFmtId="0" fontId="3" fillId="0" borderId="0" xfId="0" applyFont="1" applyFill="1" applyProtection="1">
      <protection locked="0"/>
    </xf>
    <xf numFmtId="0" fontId="8" fillId="3" borderId="1" xfId="0" applyFont="1" applyFill="1" applyBorder="1" applyAlignment="1" applyProtection="1">
      <alignment horizontal="center" vertical="center"/>
    </xf>
    <xf numFmtId="164" fontId="7" fillId="2" borderId="1" xfId="0" applyNumberFormat="1" applyFont="1" applyFill="1" applyBorder="1" applyAlignment="1" applyProtection="1">
      <alignment horizontal="right" vertical="center"/>
    </xf>
    <xf numFmtId="0" fontId="8" fillId="2" borderId="1" xfId="0" applyFont="1" applyFill="1" applyBorder="1" applyAlignment="1" applyProtection="1">
      <alignment horizontal="right" vertical="center"/>
    </xf>
    <xf numFmtId="0" fontId="32" fillId="0" borderId="1" xfId="0" applyFont="1" applyFill="1" applyBorder="1" applyAlignment="1" applyProtection="1">
      <alignment vertical="center" wrapText="1"/>
      <protection locked="0"/>
    </xf>
    <xf numFmtId="0" fontId="7" fillId="2" borderId="1" xfId="0" applyFont="1" applyFill="1" applyBorder="1" applyAlignment="1">
      <alignment horizontal="right" vertical="center"/>
    </xf>
    <xf numFmtId="0" fontId="7" fillId="5" borderId="1" xfId="0" applyFont="1" applyFill="1" applyBorder="1" applyAlignment="1">
      <alignment horizontal="center" vertical="center" wrapText="1"/>
    </xf>
    <xf numFmtId="0" fontId="7" fillId="8" borderId="1" xfId="0" applyFont="1" applyFill="1" applyBorder="1" applyAlignment="1">
      <alignment horizontal="right" vertical="center"/>
    </xf>
    <xf numFmtId="49" fontId="2" fillId="0" borderId="1" xfId="0" applyNumberFormat="1" applyFont="1" applyBorder="1" applyAlignment="1" applyProtection="1">
      <alignment horizontal="center" vertical="center"/>
      <protection locked="0"/>
    </xf>
    <xf numFmtId="0" fontId="3" fillId="0" borderId="1" xfId="0" applyFont="1" applyBorder="1" applyAlignment="1" applyProtection="1">
      <alignment vertical="center"/>
      <protection locked="0"/>
    </xf>
    <xf numFmtId="49" fontId="2" fillId="3" borderId="1" xfId="0" applyNumberFormat="1" applyFont="1" applyFill="1" applyBorder="1" applyAlignment="1" applyProtection="1">
      <alignment horizontal="center" vertical="center"/>
      <protection locked="0"/>
    </xf>
    <xf numFmtId="0" fontId="2" fillId="3" borderId="1" xfId="0" applyFont="1" applyFill="1" applyBorder="1" applyAlignment="1" applyProtection="1">
      <alignment vertical="center"/>
      <protection locked="0"/>
    </xf>
    <xf numFmtId="0" fontId="8" fillId="8" borderId="1" xfId="0" applyFont="1" applyFill="1" applyBorder="1" applyAlignment="1">
      <alignment horizontal="right" vertical="center"/>
    </xf>
    <xf numFmtId="49" fontId="2" fillId="4" borderId="1" xfId="0" applyNumberFormat="1" applyFont="1" applyFill="1" applyBorder="1" applyAlignment="1" applyProtection="1">
      <alignment horizontal="center" vertical="center"/>
      <protection locked="0"/>
    </xf>
    <xf numFmtId="0" fontId="2" fillId="4" borderId="1" xfId="0" applyFont="1" applyFill="1" applyBorder="1" applyAlignment="1" applyProtection="1">
      <alignment vertical="center"/>
      <protection locked="0"/>
    </xf>
    <xf numFmtId="0" fontId="8" fillId="4" borderId="1" xfId="0" applyFont="1" applyFill="1" applyBorder="1" applyAlignment="1">
      <alignment horizontal="left" vertical="center"/>
    </xf>
    <xf numFmtId="165" fontId="8" fillId="8" borderId="1" xfId="0" applyNumberFormat="1" applyFont="1" applyFill="1" applyBorder="1" applyAlignment="1" applyProtection="1">
      <alignment horizontal="right" vertical="center"/>
    </xf>
    <xf numFmtId="0" fontId="22" fillId="4" borderId="1" xfId="0" applyFont="1" applyFill="1" applyBorder="1" applyAlignment="1" applyProtection="1">
      <alignment horizontal="center" vertical="center"/>
    </xf>
    <xf numFmtId="166" fontId="8" fillId="2" borderId="1" xfId="0" applyNumberFormat="1" applyFont="1" applyFill="1" applyBorder="1" applyAlignment="1" applyProtection="1">
      <alignment horizontal="right" vertical="center"/>
    </xf>
    <xf numFmtId="0" fontId="8" fillId="4" borderId="1" xfId="0" applyFont="1" applyFill="1" applyBorder="1" applyAlignment="1">
      <alignment horizontal="left" vertical="center" wrapText="1"/>
    </xf>
    <xf numFmtId="49" fontId="2" fillId="6" borderId="1" xfId="0" applyNumberFormat="1" applyFont="1" applyFill="1" applyBorder="1" applyAlignment="1" applyProtection="1">
      <alignment horizontal="center" vertical="center"/>
      <protection locked="0"/>
    </xf>
    <xf numFmtId="0" fontId="3" fillId="6" borderId="1" xfId="0" applyFont="1" applyFill="1" applyBorder="1" applyAlignment="1" applyProtection="1">
      <alignment vertical="center"/>
      <protection locked="0"/>
    </xf>
    <xf numFmtId="0" fontId="7" fillId="6" borderId="1" xfId="0" applyFont="1" applyFill="1" applyBorder="1" applyAlignment="1">
      <alignment vertical="center"/>
    </xf>
    <xf numFmtId="0" fontId="8" fillId="6" borderId="1" xfId="0" applyFont="1" applyFill="1" applyBorder="1" applyAlignment="1">
      <alignment horizontal="left" vertical="center"/>
    </xf>
    <xf numFmtId="1" fontId="2" fillId="0" borderId="11" xfId="0" applyNumberFormat="1" applyFont="1" applyFill="1" applyBorder="1" applyAlignment="1" applyProtection="1">
      <alignment horizontal="center" vertical="center"/>
    </xf>
    <xf numFmtId="1" fontId="2" fillId="0" borderId="11" xfId="0" applyNumberFormat="1" applyFont="1" applyBorder="1" applyAlignment="1" applyProtection="1">
      <alignment horizontal="center" vertical="center"/>
    </xf>
    <xf numFmtId="1" fontId="2" fillId="3" borderId="11" xfId="0" applyNumberFormat="1" applyFont="1" applyFill="1" applyBorder="1" applyAlignment="1" applyProtection="1">
      <alignment horizontal="center" vertical="center"/>
    </xf>
    <xf numFmtId="1" fontId="2" fillId="4" borderId="11" xfId="0" applyNumberFormat="1" applyFont="1" applyFill="1" applyBorder="1" applyAlignment="1" applyProtection="1">
      <alignment horizontal="center" vertical="center"/>
    </xf>
    <xf numFmtId="1" fontId="2" fillId="6" borderId="11" xfId="0" applyNumberFormat="1" applyFont="1" applyFill="1" applyBorder="1" applyAlignment="1" applyProtection="1">
      <alignment horizontal="center" vertical="center"/>
    </xf>
    <xf numFmtId="0" fontId="8" fillId="0" borderId="19" xfId="0" applyFont="1" applyBorder="1" applyAlignment="1">
      <alignment horizontal="center" vertical="center"/>
    </xf>
    <xf numFmtId="0" fontId="8" fillId="3" borderId="19" xfId="0" applyFont="1" applyFill="1" applyBorder="1" applyAlignment="1">
      <alignment horizontal="center" vertical="center"/>
    </xf>
    <xf numFmtId="0" fontId="8" fillId="4" borderId="19" xfId="0" applyFont="1" applyFill="1" applyBorder="1" applyAlignment="1">
      <alignment horizontal="center" vertical="center"/>
    </xf>
    <xf numFmtId="167" fontId="8" fillId="4" borderId="19" xfId="0" applyNumberFormat="1" applyFont="1" applyFill="1" applyBorder="1" applyAlignment="1" applyProtection="1">
      <alignment horizontal="center" vertical="center"/>
    </xf>
    <xf numFmtId="0" fontId="8" fillId="6" borderId="19" xfId="0" applyFont="1" applyFill="1" applyBorder="1" applyAlignment="1">
      <alignment horizontal="center" vertical="center"/>
    </xf>
    <xf numFmtId="0" fontId="7" fillId="0" borderId="3" xfId="0" applyFont="1" applyFill="1" applyBorder="1" applyAlignment="1">
      <alignment vertical="center"/>
    </xf>
    <xf numFmtId="0" fontId="7" fillId="2" borderId="3" xfId="0" applyFont="1" applyFill="1" applyBorder="1" applyAlignment="1">
      <alignment horizontal="right" vertical="center"/>
    </xf>
    <xf numFmtId="0" fontId="7" fillId="5" borderId="3" xfId="0" applyFont="1" applyFill="1" applyBorder="1" applyAlignment="1">
      <alignment horizontal="center" vertical="center" wrapText="1"/>
    </xf>
    <xf numFmtId="0" fontId="7" fillId="8" borderId="3" xfId="0" applyFont="1" applyFill="1" applyBorder="1" applyAlignment="1">
      <alignment horizontal="right" vertical="center"/>
    </xf>
    <xf numFmtId="0" fontId="8" fillId="0" borderId="18" xfId="0" applyFont="1" applyFill="1" applyBorder="1" applyAlignment="1">
      <alignment horizontal="center" vertical="center"/>
    </xf>
    <xf numFmtId="0" fontId="30" fillId="16" borderId="10" xfId="0" applyNumberFormat="1" applyFont="1" applyFill="1" applyBorder="1" applyAlignment="1">
      <alignment horizontal="centerContinuous" vertical="center" wrapText="1"/>
    </xf>
    <xf numFmtId="0" fontId="23" fillId="11" borderId="3" xfId="0" applyNumberFormat="1" applyFont="1" applyFill="1" applyBorder="1" applyAlignment="1">
      <alignment horizontal="centerContinuous" vertical="center"/>
    </xf>
    <xf numFmtId="3" fontId="31" fillId="16" borderId="31" xfId="0" applyNumberFormat="1" applyFont="1" applyFill="1" applyBorder="1" applyAlignment="1">
      <alignment horizontal="right" vertical="center"/>
    </xf>
    <xf numFmtId="3" fontId="22" fillId="11" borderId="17" xfId="0" applyNumberFormat="1" applyFont="1" applyFill="1" applyBorder="1" applyAlignment="1">
      <alignment horizontal="right" vertical="center"/>
    </xf>
    <xf numFmtId="0" fontId="10" fillId="12" borderId="1" xfId="0" applyFont="1" applyFill="1" applyBorder="1" applyAlignment="1">
      <alignment horizontal="left" vertical="center" wrapText="1"/>
    </xf>
    <xf numFmtId="4" fontId="11" fillId="12" borderId="1" xfId="0" applyNumberFormat="1" applyFont="1" applyFill="1" applyBorder="1" applyAlignment="1">
      <alignment horizontal="right" vertical="center"/>
    </xf>
    <xf numFmtId="49" fontId="10" fillId="12" borderId="1" xfId="0" applyNumberFormat="1" applyFont="1" applyFill="1" applyBorder="1" applyAlignment="1">
      <alignment horizontal="center" vertical="center"/>
    </xf>
    <xf numFmtId="4" fontId="10" fillId="12" borderId="1" xfId="0" applyNumberFormat="1" applyFont="1" applyFill="1" applyBorder="1" applyAlignment="1">
      <alignment horizontal="right" vertical="center"/>
    </xf>
    <xf numFmtId="9" fontId="10" fillId="12" borderId="1" xfId="0" applyNumberFormat="1" applyFont="1" applyFill="1" applyBorder="1" applyAlignment="1">
      <alignment horizontal="center" vertical="center"/>
    </xf>
    <xf numFmtId="3" fontId="10" fillId="12" borderId="1" xfId="0" applyNumberFormat="1" applyFont="1" applyFill="1" applyBorder="1" applyAlignment="1">
      <alignment horizontal="right"/>
    </xf>
    <xf numFmtId="0" fontId="10" fillId="13" borderId="1" xfId="0" applyFont="1" applyFill="1" applyBorder="1" applyAlignment="1">
      <alignment horizontal="left" vertical="center" wrapText="1"/>
    </xf>
    <xf numFmtId="4" fontId="11" fillId="13" borderId="1" xfId="0" applyNumberFormat="1" applyFont="1" applyFill="1" applyBorder="1" applyAlignment="1">
      <alignment horizontal="right" vertical="center"/>
    </xf>
    <xf numFmtId="49" fontId="10" fillId="13" borderId="1" xfId="0" applyNumberFormat="1" applyFont="1" applyFill="1" applyBorder="1" applyAlignment="1">
      <alignment horizontal="center" vertical="center"/>
    </xf>
    <xf numFmtId="4" fontId="10" fillId="13" borderId="1" xfId="0" applyNumberFormat="1" applyFont="1" applyFill="1" applyBorder="1" applyAlignment="1">
      <alignment horizontal="right" vertical="center"/>
    </xf>
    <xf numFmtId="9" fontId="10" fillId="13" borderId="1" xfId="0" applyNumberFormat="1" applyFont="1" applyFill="1" applyBorder="1" applyAlignment="1">
      <alignment horizontal="center" vertical="center"/>
    </xf>
    <xf numFmtId="3" fontId="10" fillId="13" borderId="1" xfId="0" applyNumberFormat="1" applyFont="1" applyFill="1" applyBorder="1" applyAlignment="1">
      <alignment horizontal="right"/>
    </xf>
    <xf numFmtId="0" fontId="10" fillId="11" borderId="1" xfId="0" applyFont="1" applyFill="1" applyBorder="1" applyAlignment="1">
      <alignment horizontal="left" vertical="center" wrapText="1"/>
    </xf>
    <xf numFmtId="4" fontId="11" fillId="11" borderId="1" xfId="0" applyNumberFormat="1" applyFont="1" applyFill="1" applyBorder="1" applyAlignment="1">
      <alignment horizontal="right" vertical="center"/>
    </xf>
    <xf numFmtId="49" fontId="10" fillId="11" borderId="1" xfId="0" applyNumberFormat="1" applyFont="1" applyFill="1" applyBorder="1" applyAlignment="1">
      <alignment horizontal="center" vertical="center"/>
    </xf>
    <xf numFmtId="4" fontId="10" fillId="11" borderId="1" xfId="0" applyNumberFormat="1" applyFont="1" applyFill="1" applyBorder="1" applyAlignment="1">
      <alignment horizontal="right" vertical="center"/>
    </xf>
    <xf numFmtId="9" fontId="10" fillId="11" borderId="1" xfId="0" applyNumberFormat="1" applyFont="1" applyFill="1" applyBorder="1" applyAlignment="1">
      <alignment horizontal="center" vertical="center"/>
    </xf>
    <xf numFmtId="3" fontId="10" fillId="11" borderId="1" xfId="0" applyNumberFormat="1" applyFont="1" applyFill="1" applyBorder="1" applyAlignment="1">
      <alignment horizontal="right"/>
    </xf>
    <xf numFmtId="0" fontId="10" fillId="14" borderId="1" xfId="0" applyFont="1" applyFill="1" applyBorder="1" applyAlignment="1">
      <alignment horizontal="left" vertical="center" wrapText="1"/>
    </xf>
    <xf numFmtId="4" fontId="11" fillId="14" borderId="1" xfId="0" applyNumberFormat="1" applyFont="1" applyFill="1" applyBorder="1" applyAlignment="1">
      <alignment horizontal="right" vertical="center"/>
    </xf>
    <xf numFmtId="49" fontId="10" fillId="14" borderId="1" xfId="0" applyNumberFormat="1" applyFont="1" applyFill="1" applyBorder="1" applyAlignment="1">
      <alignment horizontal="center" vertical="center"/>
    </xf>
    <xf numFmtId="4" fontId="10" fillId="14" borderId="1" xfId="0" applyNumberFormat="1" applyFont="1" applyFill="1" applyBorder="1" applyAlignment="1">
      <alignment horizontal="right" vertical="center"/>
    </xf>
    <xf numFmtId="9" fontId="10" fillId="14" borderId="1" xfId="0" applyNumberFormat="1" applyFont="1" applyFill="1" applyBorder="1" applyAlignment="1">
      <alignment horizontal="center" vertical="center"/>
    </xf>
    <xf numFmtId="3" fontId="10" fillId="14" borderId="1" xfId="0" applyNumberFormat="1" applyFont="1" applyFill="1" applyBorder="1" applyAlignment="1">
      <alignment horizontal="right"/>
    </xf>
    <xf numFmtId="0" fontId="10" fillId="15" borderId="1" xfId="0" applyFont="1" applyFill="1" applyBorder="1" applyAlignment="1">
      <alignment horizontal="left" vertical="center" wrapText="1"/>
    </xf>
    <xf numFmtId="4" fontId="11" fillId="15" borderId="1" xfId="0" applyNumberFormat="1" applyFont="1" applyFill="1" applyBorder="1" applyAlignment="1">
      <alignment horizontal="right" vertical="center"/>
    </xf>
    <xf numFmtId="49" fontId="10" fillId="15" borderId="1" xfId="0" applyNumberFormat="1" applyFont="1" applyFill="1" applyBorder="1" applyAlignment="1">
      <alignment horizontal="center" vertical="center"/>
    </xf>
    <xf numFmtId="4" fontId="10" fillId="15" borderId="1" xfId="0" applyNumberFormat="1" applyFont="1" applyFill="1" applyBorder="1" applyAlignment="1">
      <alignment horizontal="right" vertical="center"/>
    </xf>
    <xf numFmtId="9" fontId="10" fillId="15" borderId="1" xfId="0" applyNumberFormat="1" applyFont="1" applyFill="1" applyBorder="1" applyAlignment="1">
      <alignment horizontal="center" vertical="center"/>
    </xf>
    <xf numFmtId="3" fontId="10" fillId="15" borderId="1" xfId="0" applyNumberFormat="1" applyFont="1" applyFill="1" applyBorder="1" applyAlignment="1">
      <alignment horizontal="right"/>
    </xf>
    <xf numFmtId="0" fontId="10" fillId="16" borderId="1" xfId="0" applyFont="1" applyFill="1" applyBorder="1" applyAlignment="1">
      <alignment horizontal="left" vertical="center" wrapText="1"/>
    </xf>
    <xf numFmtId="4" fontId="11" fillId="16" borderId="1" xfId="0" applyNumberFormat="1" applyFont="1" applyFill="1" applyBorder="1" applyAlignment="1">
      <alignment horizontal="right" vertical="center"/>
    </xf>
    <xf numFmtId="49" fontId="10" fillId="16" borderId="1" xfId="0" applyNumberFormat="1" applyFont="1" applyFill="1" applyBorder="1" applyAlignment="1">
      <alignment horizontal="center" vertical="center"/>
    </xf>
    <xf numFmtId="4" fontId="10" fillId="16" borderId="1" xfId="0" applyNumberFormat="1" applyFont="1" applyFill="1" applyBorder="1" applyAlignment="1">
      <alignment horizontal="right" vertical="center"/>
    </xf>
    <xf numFmtId="9" fontId="10" fillId="16" borderId="1" xfId="0" applyNumberFormat="1" applyFont="1" applyFill="1" applyBorder="1" applyAlignment="1">
      <alignment horizontal="center" vertical="center"/>
    </xf>
    <xf numFmtId="3" fontId="10" fillId="16" borderId="1" xfId="0" applyNumberFormat="1" applyFont="1" applyFill="1" applyBorder="1" applyAlignment="1">
      <alignment horizontal="right"/>
    </xf>
    <xf numFmtId="0" fontId="10" fillId="14" borderId="1" xfId="0" applyNumberFormat="1" applyFont="1" applyFill="1" applyBorder="1" applyAlignment="1">
      <alignment horizontal="left" vertical="center" wrapText="1"/>
    </xf>
    <xf numFmtId="0" fontId="10" fillId="15" borderId="1" xfId="0" applyNumberFormat="1" applyFont="1" applyFill="1" applyBorder="1" applyAlignment="1">
      <alignment horizontal="left" vertical="center" wrapText="1"/>
    </xf>
    <xf numFmtId="0" fontId="30" fillId="16" borderId="33" xfId="0" applyNumberFormat="1" applyFont="1" applyFill="1" applyBorder="1" applyAlignment="1">
      <alignment horizontal="centerContinuous" vertical="center" wrapText="1"/>
    </xf>
    <xf numFmtId="0" fontId="23" fillId="11" borderId="32" xfId="0" applyNumberFormat="1" applyFont="1" applyFill="1" applyBorder="1" applyAlignment="1">
      <alignment horizontal="centerContinuous" vertical="center"/>
    </xf>
    <xf numFmtId="0" fontId="30" fillId="11" borderId="34" xfId="0" applyFont="1" applyFill="1" applyBorder="1" applyAlignment="1">
      <alignment horizontal="center" vertical="center" wrapText="1"/>
    </xf>
    <xf numFmtId="0" fontId="30" fillId="11" borderId="35" xfId="0" applyFont="1" applyFill="1" applyBorder="1" applyAlignment="1">
      <alignment horizontal="center" vertical="center" wrapText="1"/>
    </xf>
    <xf numFmtId="0" fontId="30" fillId="11" borderId="35" xfId="0" applyFont="1" applyFill="1" applyBorder="1" applyAlignment="1">
      <alignment horizontal="center" vertical="center" wrapText="1"/>
    </xf>
    <xf numFmtId="0" fontId="30" fillId="12" borderId="36" xfId="0" applyNumberFormat="1" applyFont="1" applyFill="1" applyBorder="1" applyAlignment="1">
      <alignment horizontal="centerContinuous" vertical="center" wrapText="1"/>
    </xf>
    <xf numFmtId="0" fontId="30" fillId="12" borderId="37" xfId="0" applyNumberFormat="1" applyFont="1" applyFill="1" applyBorder="1" applyAlignment="1">
      <alignment horizontal="centerContinuous" vertical="center" wrapText="1"/>
    </xf>
    <xf numFmtId="3" fontId="31" fillId="12" borderId="38" xfId="0" applyNumberFormat="1" applyFont="1" applyFill="1" applyBorder="1" applyAlignment="1">
      <alignment horizontal="right" vertical="center"/>
    </xf>
    <xf numFmtId="0" fontId="30" fillId="11" borderId="39" xfId="0" applyFont="1" applyFill="1" applyBorder="1" applyAlignment="1">
      <alignment horizontal="center" vertical="center" wrapText="1"/>
    </xf>
    <xf numFmtId="3" fontId="10" fillId="12" borderId="40" xfId="0" applyNumberFormat="1" applyFont="1" applyFill="1" applyBorder="1" applyAlignment="1">
      <alignment horizontal="right"/>
    </xf>
    <xf numFmtId="3" fontId="10" fillId="13" borderId="40" xfId="0" applyNumberFormat="1" applyFont="1" applyFill="1" applyBorder="1" applyAlignment="1">
      <alignment horizontal="right"/>
    </xf>
    <xf numFmtId="3" fontId="10" fillId="11" borderId="40" xfId="0" applyNumberFormat="1" applyFont="1" applyFill="1" applyBorder="1" applyAlignment="1">
      <alignment horizontal="right"/>
    </xf>
    <xf numFmtId="3" fontId="10" fillId="14" borderId="40" xfId="0" applyNumberFormat="1" applyFont="1" applyFill="1" applyBorder="1" applyAlignment="1">
      <alignment horizontal="right"/>
    </xf>
    <xf numFmtId="3" fontId="10" fillId="15" borderId="40" xfId="0" applyNumberFormat="1" applyFont="1" applyFill="1" applyBorder="1" applyAlignment="1">
      <alignment horizontal="right"/>
    </xf>
    <xf numFmtId="3" fontId="10" fillId="16" borderId="40" xfId="0" applyNumberFormat="1" applyFont="1" applyFill="1" applyBorder="1" applyAlignment="1">
      <alignment horizontal="right"/>
    </xf>
    <xf numFmtId="3" fontId="31" fillId="16" borderId="41" xfId="0" applyNumberFormat="1" applyFont="1" applyFill="1" applyBorder="1" applyAlignment="1">
      <alignment horizontal="right" vertical="center"/>
    </xf>
    <xf numFmtId="3" fontId="22" fillId="11" borderId="42" xfId="0" applyNumberFormat="1" applyFont="1" applyFill="1" applyBorder="1" applyAlignment="1">
      <alignment horizontal="right" vertical="center"/>
    </xf>
    <xf numFmtId="3" fontId="31" fillId="12" borderId="43" xfId="0" applyNumberFormat="1" applyFont="1" applyFill="1" applyBorder="1" applyAlignment="1">
      <alignment horizontal="right" vertical="center"/>
    </xf>
    <xf numFmtId="0" fontId="10" fillId="12" borderId="4"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0" fillId="14"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10" fillId="16" borderId="4" xfId="0" applyFont="1" applyFill="1" applyBorder="1" applyAlignment="1">
      <alignment horizontal="left" vertical="center" wrapText="1"/>
    </xf>
    <xf numFmtId="49" fontId="10" fillId="14" borderId="4" xfId="0" applyNumberFormat="1" applyFont="1" applyFill="1" applyBorder="1" applyAlignment="1">
      <alignment horizontal="left" vertical="center" wrapText="1"/>
    </xf>
    <xf numFmtId="49" fontId="10" fillId="15" borderId="4" xfId="0" applyNumberFormat="1" applyFont="1" applyFill="1" applyBorder="1" applyAlignment="1">
      <alignment horizontal="left" vertical="center" wrapText="1"/>
    </xf>
  </cellXfs>
  <cellStyles count="1">
    <cellStyle name="Normal" xfId="0" builtinId="0"/>
  </cellStyles>
  <dxfs count="79">
    <dxf>
      <numFmt numFmtId="3" formatCode="#,##0"/>
      <alignment vertical="center" textRotation="0" indent="0" justifyLastLine="0" shrinkToFit="0" readingOrder="0"/>
      <border diagonalUp="0" diagonalDown="0" outline="0">
        <left style="thin">
          <color indexed="64"/>
        </left>
        <right/>
        <top style="thin">
          <color indexed="64"/>
        </top>
        <bottom style="thin">
          <color indexed="64"/>
        </bottom>
      </border>
    </dxf>
    <dxf>
      <numFmt numFmtId="4" formatCode="#,##0.00"/>
      <alignment vertical="center" textRotation="0" indent="0" justifyLastLine="0" shrinkToFit="0" readingOrder="0"/>
      <border diagonalUp="0" diagonalDown="0" outline="0">
        <left style="thin">
          <color indexed="64"/>
        </left>
        <right style="thin">
          <color indexed="64"/>
        </right>
        <top style="thin">
          <color auto="1"/>
        </top>
        <bottom style="thin">
          <color auto="1"/>
        </bottom>
      </border>
    </dxf>
    <dxf>
      <alignment horizontal="center" vertical="center" textRotation="0" wrapText="0" indent="0" justifyLastLine="0" shrinkToFit="0" readingOrder="0"/>
      <border diagonalUp="0" diagonalDown="0" outline="0">
        <left style="thin">
          <color indexed="64"/>
        </left>
        <right style="thin">
          <color indexed="64"/>
        </right>
        <top style="thin">
          <color auto="1"/>
        </top>
        <bottom style="thin">
          <color auto="1"/>
        </bottom>
      </border>
    </dxf>
    <dxf>
      <alignment horizontal="right" vertical="center" textRotation="0" wrapText="0" indent="0" justifyLastLine="0" shrinkToFit="0" readingOrder="0"/>
      <border diagonalUp="0" diagonalDown="0" outline="0">
        <left style="thin">
          <color indexed="64"/>
        </left>
        <right style="thin">
          <color indexed="64"/>
        </right>
        <top style="thin">
          <color auto="1"/>
        </top>
        <bottom style="thin">
          <color auto="1"/>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dxf>
    <dxf>
      <numFmt numFmtId="1" formatCode="0"/>
      <alignment horizontal="left" vertical="center" textRotation="0" wrapText="0" indent="0" justifyLastLine="0" shrinkToFit="0" readingOrder="0"/>
      <border diagonalUp="0" diagonalDown="0" outline="0">
        <left/>
        <right style="thin">
          <color indexed="64"/>
        </right>
        <top style="thin">
          <color auto="1"/>
        </top>
        <bottom style="thin">
          <color auto="1"/>
        </bottom>
      </border>
    </dxf>
    <dxf>
      <alignment vertical="center" textRotation="0" indent="0" justifyLastLine="0" shrinkToFit="0" readingOrder="0"/>
    </dxf>
    <dxf>
      <numFmt numFmtId="4" formatCode="#,##0.00"/>
      <border diagonalUp="0" diagonalDown="0" outline="0">
        <left style="thin">
          <color indexed="64"/>
        </left>
        <right/>
        <top style="thin">
          <color indexed="64"/>
        </top>
        <bottom/>
      </border>
    </dxf>
    <dxf>
      <border diagonalUp="0" diagonalDown="0" outline="0">
        <left style="thin">
          <color indexed="64"/>
        </left>
        <right style="thin">
          <color indexed="64"/>
        </right>
        <top style="thin">
          <color auto="1"/>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alignment horizontal="left" vertical="bottom" textRotation="0" wrapText="1"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outline="0">
        <left/>
        <right style="thin">
          <color indexed="64"/>
        </right>
        <top/>
        <bottom/>
      </border>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ont>
        <b/>
        <i val="0"/>
        <strike val="0"/>
        <condense val="0"/>
        <extend val="0"/>
        <outline val="0"/>
        <shadow val="0"/>
        <u val="none"/>
        <vertAlign val="baseline"/>
        <sz val="11"/>
        <color rgb="FF000000"/>
        <name val="Calibri"/>
        <family val="2"/>
        <scheme val="minor"/>
      </font>
      <fill>
        <patternFill patternType="solid">
          <fgColor indexed="64"/>
          <bgColor rgb="FFFFFFC8"/>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E9BCF3-9490-462C-BA7E-D8F698F59699}" name="SummaryTable_20260610_172630" displayName="SummaryTable_20260610_172630" ref="A2:G17" totalsRowCount="1" headerRowDxfId="75" dataDxfId="7" headerRowBorderDxfId="77" tableBorderDxfId="78" totalsRowBorderDxfId="76">
  <autoFilter ref="A2:G16" xr:uid="{9EE9BCF3-9490-462C-BA7E-D8F698F59699}"/>
  <tableColumns count="7">
    <tableColumn id="1" xr3:uid="{138175AC-EB40-4FF0-80B0-6EDC90BF7D77}" name="Sr." totalsRowLabel="Total" dataDxfId="6" totalsRowDxfId="14"/>
    <tableColumn id="2" xr3:uid="{E3A277BB-C852-4F94-BDF6-BDF44713104C}" name="Item No" dataDxfId="5" totalsRowDxfId="13"/>
    <tableColumn id="3" xr3:uid="{F6D4A08A-0595-40FC-8319-31347391490A}" name="Description" dataDxfId="4" totalsRowDxfId="12"/>
    <tableColumn id="4" xr3:uid="{EC4F9C6F-51CE-4944-AF59-CD2174F762FE}" name="Qty" totalsRowFunction="sum" dataDxfId="3" totalsRowDxfId="9"/>
    <tableColumn id="5" xr3:uid="{DA632C16-7F2C-4CEB-BAC2-E593C20E4206}" name="Unit" dataDxfId="2" totalsRowDxfId="11"/>
    <tableColumn id="6" xr3:uid="{D8AE9BB0-5BF4-49F5-BEA9-D6D7117685AA}" name="Rate" dataDxfId="1" totalsRowDxfId="10"/>
    <tableColumn id="7" xr3:uid="{152BF380-F0AE-4F22-9BA4-890D30C72D8D}" name="Amount" totalsRowFunction="sum" dataDxfId="0" totalsRowDxfId="8">
      <calculatedColumnFormula>D3*F3</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6"/>
  <sheetViews>
    <sheetView showGridLines="0" tabSelected="1" zoomScaleNormal="100" workbookViewId="0">
      <selection activeCell="D3" sqref="D3"/>
    </sheetView>
  </sheetViews>
  <sheetFormatPr defaultColWidth="0" defaultRowHeight="14.4" zeroHeight="1" x14ac:dyDescent="0.3"/>
  <cols>
    <col min="1" max="1" width="10.77734375" style="31" customWidth="1"/>
    <col min="2" max="2" width="10.77734375" style="143" customWidth="1"/>
    <col min="3" max="3" width="69.77734375" style="30" customWidth="1"/>
    <col min="4" max="4" width="10.77734375" style="31" customWidth="1"/>
    <col min="5" max="5" width="12" style="30" bestFit="1" customWidth="1"/>
    <col min="6" max="7" width="10.77734375" style="30" customWidth="1"/>
    <col min="8" max="8" width="10.77734375" style="31" customWidth="1"/>
    <col min="9" max="9" width="10.77734375" style="49" customWidth="1"/>
    <col min="10" max="11" width="10.77734375" style="30" customWidth="1"/>
    <col min="12" max="12" width="11.77734375" style="30" customWidth="1"/>
    <col min="13" max="13" width="12.77734375" customWidth="1"/>
    <col min="14" max="14" width="5.77734375" customWidth="1"/>
    <col min="15" max="16384" width="8.88671875" hidden="1"/>
  </cols>
  <sheetData>
    <row r="1" spans="1:12" ht="31.8" thickBot="1" x14ac:dyDescent="0.35">
      <c r="A1" s="156" t="s">
        <v>93</v>
      </c>
      <c r="B1" s="156"/>
      <c r="C1" s="156"/>
      <c r="D1" s="156"/>
      <c r="E1" s="156"/>
      <c r="F1" s="156"/>
      <c r="G1" s="156"/>
      <c r="H1" s="156"/>
      <c r="I1" s="156"/>
      <c r="J1" s="156"/>
      <c r="K1" s="156"/>
      <c r="L1" s="156"/>
    </row>
    <row r="2" spans="1:12" s="45" customFormat="1" ht="31.8" thickTop="1" x14ac:dyDescent="0.3">
      <c r="A2" s="59" t="s">
        <v>81</v>
      </c>
      <c r="B2" s="155" t="s">
        <v>80</v>
      </c>
      <c r="C2" s="60" t="s">
        <v>79</v>
      </c>
      <c r="D2" s="60" t="s">
        <v>32</v>
      </c>
      <c r="E2" s="60" t="s">
        <v>78</v>
      </c>
      <c r="F2" s="60" t="s">
        <v>77</v>
      </c>
      <c r="G2" s="60" t="s">
        <v>76</v>
      </c>
      <c r="H2" s="60" t="s">
        <v>82</v>
      </c>
      <c r="I2" s="60" t="s">
        <v>83</v>
      </c>
      <c r="J2" s="60" t="s">
        <v>84</v>
      </c>
      <c r="K2" s="60" t="s">
        <v>73</v>
      </c>
      <c r="L2" s="115" t="s">
        <v>85</v>
      </c>
    </row>
    <row r="3" spans="1:12" s="45" customFormat="1" ht="93" x14ac:dyDescent="0.3">
      <c r="A3" s="91">
        <f>IFERROR(LOOKUP(2,1/(ISNUMBER($A$2:$A$2)),$A$2:$A$2),0)+1</f>
        <v>1</v>
      </c>
      <c r="B3" s="50" t="s">
        <v>22</v>
      </c>
      <c r="C3" s="53" t="s">
        <v>75</v>
      </c>
      <c r="D3" s="128"/>
      <c r="E3" s="129"/>
      <c r="F3" s="129"/>
      <c r="G3" s="129"/>
      <c r="H3" s="67"/>
      <c r="I3" s="130"/>
      <c r="J3" s="75"/>
      <c r="K3" s="77"/>
      <c r="L3" s="131"/>
    </row>
    <row r="4" spans="1:12" ht="15.6" x14ac:dyDescent="0.3">
      <c r="A4" s="112"/>
      <c r="B4" s="144"/>
      <c r="C4" s="54" t="s">
        <v>23</v>
      </c>
      <c r="D4" s="51">
        <v>2</v>
      </c>
      <c r="E4" s="54">
        <v>71.625</v>
      </c>
      <c r="F4" s="54">
        <v>3</v>
      </c>
      <c r="G4" s="54">
        <v>3</v>
      </c>
      <c r="H4" s="66">
        <f>D4*IF(OR(E4=0,E4="-"),1,E4)*IF(OR(F4=0,F4="-"),1,F4)*IF(OR(G4=0,G4="-"),1,G4)</f>
        <v>1289.25</v>
      </c>
      <c r="I4" s="47" t="s">
        <v>24</v>
      </c>
      <c r="J4" s="95"/>
      <c r="K4" s="96"/>
      <c r="L4" s="116"/>
    </row>
    <row r="5" spans="1:12" ht="15.6" x14ac:dyDescent="0.3">
      <c r="A5" s="112"/>
      <c r="B5" s="144"/>
      <c r="C5" s="54" t="s">
        <v>25</v>
      </c>
      <c r="D5" s="51">
        <v>3</v>
      </c>
      <c r="E5" s="54">
        <v>33.375</v>
      </c>
      <c r="F5" s="54">
        <v>3</v>
      </c>
      <c r="G5" s="54">
        <v>3</v>
      </c>
      <c r="H5" s="66">
        <f>D5*IF(OR(E5=0,E5="-"),1,E5)*IF(OR(F5=0,F5="-"),1,F5)*IF(OR(G5=0,G5="-"),1,G5)</f>
        <v>901.125</v>
      </c>
      <c r="I5" s="47" t="s">
        <v>24</v>
      </c>
      <c r="J5" s="95"/>
      <c r="K5" s="96"/>
      <c r="L5" s="116"/>
    </row>
    <row r="6" spans="1:12" ht="15.6" x14ac:dyDescent="0.3">
      <c r="A6" s="113"/>
      <c r="B6" s="145"/>
      <c r="C6" s="56"/>
      <c r="D6" s="52"/>
      <c r="E6" s="56"/>
      <c r="F6" s="57" t="s">
        <v>26</v>
      </c>
      <c r="G6" s="57"/>
      <c r="H6" s="68">
        <f>SUM(H4:INDEX(H:H,ROW()-1))</f>
        <v>2190.375</v>
      </c>
      <c r="I6" s="35" t="s">
        <v>24</v>
      </c>
      <c r="J6" s="74"/>
      <c r="K6" s="97">
        <f>0</f>
        <v>0</v>
      </c>
      <c r="L6" s="117"/>
    </row>
    <row r="7" spans="1:12" ht="28.8" x14ac:dyDescent="0.3">
      <c r="A7" s="93"/>
      <c r="B7" s="146"/>
      <c r="C7" s="36"/>
      <c r="D7" s="38"/>
      <c r="E7" s="37" t="s">
        <v>27</v>
      </c>
      <c r="F7" s="37"/>
      <c r="G7" s="37"/>
      <c r="H7" s="69">
        <f>ROUND(H6*0.028316846592,3)</f>
        <v>62.024999999999999</v>
      </c>
      <c r="I7" s="81" t="s">
        <v>28</v>
      </c>
      <c r="J7" s="74" t="s">
        <v>37</v>
      </c>
      <c r="K7" s="79">
        <f>IF(B3="4.14.1",IF(J7="Labour Rate",20,IF(J7="Machinery Rate",63,IF(J7="Through Rate",83,0))),"")</f>
        <v>83</v>
      </c>
      <c r="L7" s="65">
        <f>IF(H7*K7&lt;&gt;0,H7*K7,0)</f>
        <v>5148.0749999999998</v>
      </c>
    </row>
    <row r="8" spans="1:12" ht="13.95" customHeight="1" x14ac:dyDescent="0.3">
      <c r="A8" s="114"/>
      <c r="B8" s="147"/>
      <c r="C8" s="98"/>
      <c r="D8" s="99"/>
      <c r="E8" s="98"/>
      <c r="F8" s="98"/>
      <c r="G8" s="98"/>
      <c r="H8" s="94"/>
      <c r="I8" s="100"/>
      <c r="J8" s="95"/>
      <c r="K8" s="96"/>
      <c r="L8" s="118"/>
    </row>
    <row r="9" spans="1:12" s="45" customFormat="1" ht="28.8" x14ac:dyDescent="0.3">
      <c r="A9" s="91">
        <f>IFERROR(LOOKUP(2,1/(ISNUMBER($A$2:$A$8)),$A$2:$A$8),0)+1</f>
        <v>2</v>
      </c>
      <c r="B9" s="50" t="s">
        <v>39</v>
      </c>
      <c r="C9" s="55" t="s">
        <v>74</v>
      </c>
      <c r="D9" s="128"/>
      <c r="E9" s="129"/>
      <c r="F9" s="129"/>
      <c r="G9" s="129"/>
      <c r="H9" s="67"/>
      <c r="I9" s="130"/>
      <c r="J9" s="75"/>
      <c r="K9" s="77"/>
      <c r="L9" s="131"/>
    </row>
    <row r="10" spans="1:12" ht="15.6" x14ac:dyDescent="0.3">
      <c r="A10" s="112"/>
      <c r="B10" s="144"/>
      <c r="C10" s="54"/>
      <c r="D10" s="51">
        <v>1</v>
      </c>
      <c r="E10" s="54">
        <v>150</v>
      </c>
      <c r="F10" s="54">
        <v>1</v>
      </c>
      <c r="G10" s="54">
        <v>1</v>
      </c>
      <c r="H10" s="66">
        <f>D10*IF(OR(E10=0,E10="-"),1,E10)*IF(OR(F10=0,F10="-"),1,F10)*IF(OR(G10=0,G10="-"),1,G10)</f>
        <v>150</v>
      </c>
      <c r="I10" s="47" t="s">
        <v>24</v>
      </c>
      <c r="J10" s="95"/>
      <c r="K10" s="96"/>
      <c r="L10" s="116"/>
    </row>
    <row r="11" spans="1:12" ht="15.6" x14ac:dyDescent="0.3">
      <c r="A11" s="113"/>
      <c r="B11" s="145"/>
      <c r="C11" s="56"/>
      <c r="D11" s="52"/>
      <c r="E11" s="56"/>
      <c r="F11" s="57" t="s">
        <v>26</v>
      </c>
      <c r="G11" s="57"/>
      <c r="H11" s="68">
        <f>SUM(H10:INDEX(H:H,ROW()-1))</f>
        <v>150</v>
      </c>
      <c r="I11" s="35" t="s">
        <v>24</v>
      </c>
      <c r="J11" s="74"/>
      <c r="K11" s="97">
        <f>0</f>
        <v>0</v>
      </c>
      <c r="L11" s="117"/>
    </row>
    <row r="12" spans="1:12" ht="19.95" customHeight="1" x14ac:dyDescent="0.3">
      <c r="A12" s="93"/>
      <c r="B12" s="146"/>
      <c r="C12" s="36"/>
      <c r="D12" s="38"/>
      <c r="E12" s="37" t="s">
        <v>27</v>
      </c>
      <c r="F12" s="37"/>
      <c r="G12" s="37"/>
      <c r="H12" s="69">
        <f>ROUND(H11*0.028316846592,3)</f>
        <v>4.2480000000000002</v>
      </c>
      <c r="I12" s="81" t="s">
        <v>28</v>
      </c>
      <c r="J12" s="74" t="s">
        <v>73</v>
      </c>
      <c r="K12" s="79">
        <f>IF(B9="RM079",IF(J12="Rate",18,0),"")</f>
        <v>18</v>
      </c>
      <c r="L12" s="65">
        <f>IF(H12*K12&lt;&gt;0,H12*K12,0)</f>
        <v>76.463999999999999</v>
      </c>
    </row>
    <row r="13" spans="1:12" ht="13.95" customHeight="1" x14ac:dyDescent="0.3">
      <c r="A13" s="114"/>
      <c r="B13" s="147"/>
      <c r="C13" s="98"/>
      <c r="D13" s="99"/>
      <c r="E13" s="98"/>
      <c r="F13" s="98"/>
      <c r="G13" s="98"/>
      <c r="H13" s="94"/>
      <c r="I13" s="100"/>
      <c r="J13" s="95"/>
      <c r="K13" s="96"/>
      <c r="L13" s="118"/>
    </row>
    <row r="14" spans="1:12" s="45" customFormat="1" ht="51.6" x14ac:dyDescent="0.3">
      <c r="A14" s="91">
        <f>IFERROR(LOOKUP(2,1/(ISNUMBER($A$2:$A$13)),$A$2:$A$13),0)+1</f>
        <v>3</v>
      </c>
      <c r="B14" s="50" t="s">
        <v>40</v>
      </c>
      <c r="C14" s="53" t="s">
        <v>71</v>
      </c>
      <c r="D14" s="128"/>
      <c r="E14" s="129"/>
      <c r="F14" s="129"/>
      <c r="G14" s="129"/>
      <c r="H14" s="67"/>
      <c r="I14" s="130"/>
      <c r="J14" s="75"/>
      <c r="K14" s="77"/>
      <c r="L14" s="131"/>
    </row>
    <row r="15" spans="1:12" ht="15.6" x14ac:dyDescent="0.3">
      <c r="A15" s="112"/>
      <c r="B15" s="144"/>
      <c r="C15" s="101" t="s">
        <v>41</v>
      </c>
      <c r="D15" s="51">
        <v>1</v>
      </c>
      <c r="E15" s="54">
        <v>150</v>
      </c>
      <c r="F15" s="54">
        <v>1</v>
      </c>
      <c r="G15" s="54">
        <v>1</v>
      </c>
      <c r="H15" s="66">
        <f>D15*IF(OR(E15=0,E15="-"),1,E15)*IF(OR(F15=0,F15="-"),1,F15)*IF(OR(G15=0,G15="-"),1,G15)</f>
        <v>150</v>
      </c>
      <c r="I15" s="47" t="s">
        <v>24</v>
      </c>
      <c r="J15" s="95"/>
      <c r="K15" s="96"/>
      <c r="L15" s="116"/>
    </row>
    <row r="16" spans="1:12" ht="15.6" x14ac:dyDescent="0.3">
      <c r="A16" s="113"/>
      <c r="B16" s="145"/>
      <c r="C16" s="56"/>
      <c r="D16" s="52"/>
      <c r="E16" s="56"/>
      <c r="F16" s="57" t="s">
        <v>26</v>
      </c>
      <c r="G16" s="57"/>
      <c r="H16" s="68">
        <f>SUM(H15:INDEX(H:H,ROW()-1))</f>
        <v>150</v>
      </c>
      <c r="I16" s="35" t="s">
        <v>24</v>
      </c>
      <c r="J16" s="74"/>
      <c r="K16" s="97">
        <f>0</f>
        <v>0</v>
      </c>
      <c r="L16" s="117"/>
    </row>
    <row r="17" spans="1:14" ht="19.95" customHeight="1" x14ac:dyDescent="0.3">
      <c r="A17" s="93"/>
      <c r="B17" s="146"/>
      <c r="C17" s="36"/>
      <c r="D17" s="38"/>
      <c r="E17" s="37" t="s">
        <v>27</v>
      </c>
      <c r="F17" s="37"/>
      <c r="G17" s="37"/>
      <c r="H17" s="69">
        <f>ROUND(H16*0.028316846592,3)</f>
        <v>4.2480000000000002</v>
      </c>
      <c r="I17" s="81" t="s">
        <v>28</v>
      </c>
      <c r="J17" s="74" t="s">
        <v>72</v>
      </c>
      <c r="K17" s="79">
        <f>IF(B14="3.1.2",IF(J17="1km",53,IF(J17="2km",60,IF(J17="3km",68,IF(J17="4km",75,IF(J17="5km",83,IF(J17="Beyond 5km up to 10km per KM",6,IF(J17="Beyond 10km up to 20km per KM",5,IF(J17="Beyond 20km per adl. KM",4,0)))))))),"")</f>
        <v>83</v>
      </c>
      <c r="L17" s="65">
        <f>IF(H17*K17&lt;&gt;0,H17*K17,0)</f>
        <v>352.584</v>
      </c>
    </row>
    <row r="18" spans="1:14" ht="13.95" customHeight="1" x14ac:dyDescent="0.3">
      <c r="A18" s="114"/>
      <c r="B18" s="147"/>
      <c r="C18" s="98"/>
      <c r="D18" s="99"/>
      <c r="E18" s="98"/>
      <c r="F18" s="98"/>
      <c r="G18" s="98"/>
      <c r="H18" s="94"/>
      <c r="I18" s="100"/>
      <c r="J18" s="95"/>
      <c r="K18" s="96"/>
      <c r="L18" s="118"/>
    </row>
    <row r="19" spans="1:14" s="45" customFormat="1" ht="51.6" x14ac:dyDescent="0.3">
      <c r="A19" s="91">
        <f>IFERROR(LOOKUP(2,1/(ISNUMBER($A$2:$A$18)),$A$2:$A$18),0)+1</f>
        <v>4</v>
      </c>
      <c r="B19" s="50" t="s">
        <v>40</v>
      </c>
      <c r="C19" s="53" t="s">
        <v>71</v>
      </c>
      <c r="D19" s="128"/>
      <c r="E19" s="129"/>
      <c r="F19" s="129"/>
      <c r="G19" s="129"/>
      <c r="H19" s="67"/>
      <c r="I19" s="130"/>
      <c r="J19" s="75"/>
      <c r="K19" s="77"/>
      <c r="L19" s="131"/>
    </row>
    <row r="20" spans="1:14" ht="15.6" x14ac:dyDescent="0.3">
      <c r="A20" s="112"/>
      <c r="B20" s="144"/>
      <c r="C20" s="101" t="s">
        <v>42</v>
      </c>
      <c r="D20" s="51">
        <v>3</v>
      </c>
      <c r="E20" s="54">
        <v>150</v>
      </c>
      <c r="F20" s="54">
        <v>1</v>
      </c>
      <c r="G20" s="54">
        <v>1</v>
      </c>
      <c r="H20" s="66">
        <f>D20*IF(OR(E20=0,E20="-"),1,E20)*IF(OR(F20=0,F20="-"),1,F20)*IF(OR(G20=0,G20="-"),1,G20)</f>
        <v>450</v>
      </c>
      <c r="I20" s="47" t="s">
        <v>24</v>
      </c>
      <c r="J20" s="95"/>
      <c r="K20" s="96"/>
      <c r="L20" s="116"/>
    </row>
    <row r="21" spans="1:14" ht="15.6" x14ac:dyDescent="0.3">
      <c r="A21" s="113"/>
      <c r="B21" s="145"/>
      <c r="C21" s="56"/>
      <c r="D21" s="52"/>
      <c r="E21" s="56"/>
      <c r="F21" s="57" t="s">
        <v>26</v>
      </c>
      <c r="G21" s="57"/>
      <c r="H21" s="68">
        <f>SUM(H20:INDEX(H:H,ROW()-1))</f>
        <v>450</v>
      </c>
      <c r="I21" s="35" t="s">
        <v>24</v>
      </c>
      <c r="J21" s="74"/>
      <c r="K21" s="97">
        <f>0</f>
        <v>0</v>
      </c>
      <c r="L21" s="117"/>
    </row>
    <row r="22" spans="1:14" ht="57.6" x14ac:dyDescent="0.3">
      <c r="A22" s="93"/>
      <c r="B22" s="146"/>
      <c r="C22" s="36"/>
      <c r="D22" s="38"/>
      <c r="E22" s="37" t="s">
        <v>27</v>
      </c>
      <c r="F22" s="37"/>
      <c r="G22" s="37"/>
      <c r="H22" s="69">
        <f>ROUND(H21*0.028316846592,3)</f>
        <v>12.743</v>
      </c>
      <c r="I22" s="81" t="s">
        <v>28</v>
      </c>
      <c r="J22" s="74" t="s">
        <v>70</v>
      </c>
      <c r="K22" s="79">
        <f>IF(B19="3.1.2",IF(J22="1km",53,IF(J22="2km",60,IF(J22="3km",68,IF(J22="4km",75,IF(J22="5km",83,IF(J22="Beyond 5km up to 10km per KM",6,IF(J22="Beyond 10km up to 20km per KM",5,IF(J22="Beyond 20km per adl. KM",4,0)))))))),"")</f>
        <v>6</v>
      </c>
      <c r="L22" s="65">
        <f>IF(H22*K22&lt;&gt;0,H22*K22,0)</f>
        <v>76.457999999999998</v>
      </c>
    </row>
    <row r="23" spans="1:14" ht="13.95" customHeight="1" x14ac:dyDescent="0.3">
      <c r="A23" s="114"/>
      <c r="B23" s="147"/>
      <c r="C23" s="98"/>
      <c r="D23" s="99"/>
      <c r="E23" s="98"/>
      <c r="F23" s="98"/>
      <c r="G23" s="98"/>
      <c r="H23" s="94"/>
      <c r="I23" s="100"/>
      <c r="J23" s="95"/>
      <c r="K23" s="96"/>
      <c r="L23" s="118"/>
    </row>
    <row r="24" spans="1:14" s="204" customFormat="1" ht="27.6" x14ac:dyDescent="0.3">
      <c r="A24" s="228">
        <f>IFERROR(LOOKUP(2,1/(ISNUMBER($A$2:$A$23)),$A$2:$A$23),0)+1</f>
        <v>5</v>
      </c>
      <c r="B24" s="110" t="s">
        <v>150</v>
      </c>
      <c r="C24" s="208" t="s">
        <v>152</v>
      </c>
      <c r="D24" s="132"/>
      <c r="E24" s="238"/>
      <c r="F24" s="238"/>
      <c r="G24" s="238"/>
      <c r="H24" s="239"/>
      <c r="I24" s="141"/>
      <c r="J24" s="240"/>
      <c r="K24" s="241"/>
      <c r="L24" s="242"/>
      <c r="M24" s="203"/>
    </row>
    <row r="25" spans="1:14" s="200" customFormat="1" ht="15.6" customHeight="1" x14ac:dyDescent="0.3">
      <c r="A25" s="229"/>
      <c r="B25" s="212"/>
      <c r="C25" s="213" t="s">
        <v>151</v>
      </c>
      <c r="D25" s="2">
        <v>12</v>
      </c>
      <c r="E25" s="19">
        <v>1.5</v>
      </c>
      <c r="F25" s="19"/>
      <c r="G25" s="19"/>
      <c r="H25" s="206">
        <f>D25*IF(OR(E25=0,E25="-"),1,E25)*IF(OR(F25=0,F25="-"),1,F25)*IF(OR(G25=0,G25="-"),1,G25)</f>
        <v>18</v>
      </c>
      <c r="I25" s="22" t="s">
        <v>47</v>
      </c>
      <c r="J25" s="210"/>
      <c r="K25" s="211"/>
      <c r="L25" s="233"/>
      <c r="M25" s="199"/>
    </row>
    <row r="26" spans="1:14" s="200" customFormat="1" ht="15.6" customHeight="1" x14ac:dyDescent="0.3">
      <c r="A26" s="229"/>
      <c r="B26" s="212"/>
      <c r="C26" s="213" t="s">
        <v>25</v>
      </c>
      <c r="D26" s="2">
        <v>1</v>
      </c>
      <c r="E26" s="19">
        <v>236</v>
      </c>
      <c r="F26" s="19"/>
      <c r="G26" s="19"/>
      <c r="H26" s="206">
        <f>D26*IF(OR(E26=0,E26="-"),1,E26)*IF(OR(F26=0,F26="-"),1,F26)*IF(OR(G26=0,G26="-"),1,G26)</f>
        <v>236</v>
      </c>
      <c r="I26" s="22" t="s">
        <v>47</v>
      </c>
      <c r="J26" s="210"/>
      <c r="K26" s="211"/>
      <c r="L26" s="233"/>
      <c r="M26" s="199"/>
    </row>
    <row r="27" spans="1:14" s="200" customFormat="1" ht="15.6" customHeight="1" x14ac:dyDescent="0.3">
      <c r="A27" s="229"/>
      <c r="B27" s="212"/>
      <c r="C27" s="213"/>
      <c r="D27" s="2">
        <v>1</v>
      </c>
      <c r="E27" s="19">
        <v>38.125</v>
      </c>
      <c r="F27" s="19"/>
      <c r="G27" s="19"/>
      <c r="H27" s="206">
        <f>D27*IF(OR(E27=0,E27="-"),1,E27)*IF(OR(F27=0,F27="-"),1,F27)*IF(OR(G27=0,G27="-"),1,G27)</f>
        <v>38.125</v>
      </c>
      <c r="I27" s="22" t="s">
        <v>47</v>
      </c>
      <c r="J27" s="210"/>
      <c r="K27" s="211"/>
      <c r="L27" s="233"/>
      <c r="M27" s="199"/>
    </row>
    <row r="28" spans="1:14" s="200" customFormat="1" ht="15.6" customHeight="1" x14ac:dyDescent="0.3">
      <c r="A28" s="229"/>
      <c r="B28" s="212"/>
      <c r="C28" s="213"/>
      <c r="D28" s="2">
        <v>1</v>
      </c>
      <c r="E28" s="19">
        <v>39.125</v>
      </c>
      <c r="F28" s="19"/>
      <c r="G28" s="19"/>
      <c r="H28" s="206">
        <f>D28*IF(OR(E28=0,E28="-"),1,E28)*IF(OR(F28=0,F28="-"),1,F28)*IF(OR(G28=0,G28="-"),1,G28)</f>
        <v>39.125</v>
      </c>
      <c r="I28" s="22" t="s">
        <v>47</v>
      </c>
      <c r="J28" s="210"/>
      <c r="K28" s="211"/>
      <c r="L28" s="233"/>
      <c r="M28" s="199"/>
    </row>
    <row r="29" spans="1:14" s="200" customFormat="1" ht="15.6" customHeight="1" x14ac:dyDescent="0.3">
      <c r="A29" s="230"/>
      <c r="B29" s="214"/>
      <c r="C29" s="215"/>
      <c r="D29" s="9"/>
      <c r="E29" s="27"/>
      <c r="F29" s="205" t="s">
        <v>48</v>
      </c>
      <c r="G29" s="205"/>
      <c r="H29" s="207">
        <f>SUM(H25:INDEX(H:H,ROW()-1))</f>
        <v>331.25</v>
      </c>
      <c r="I29" s="28" t="s">
        <v>47</v>
      </c>
      <c r="J29" s="23"/>
      <c r="K29" s="216"/>
      <c r="L29" s="234"/>
      <c r="M29" s="199"/>
    </row>
    <row r="30" spans="1:14" s="200" customFormat="1" ht="15.6" customHeight="1" x14ac:dyDescent="0.3">
      <c r="A30" s="231"/>
      <c r="B30" s="217"/>
      <c r="C30" s="218"/>
      <c r="D30" s="12"/>
      <c r="E30" s="202" t="s">
        <v>48</v>
      </c>
      <c r="F30" s="202"/>
      <c r="G30" s="202"/>
      <c r="H30" s="29">
        <f>ROUND(H29*1,3)</f>
        <v>331.25</v>
      </c>
      <c r="I30" s="219" t="s">
        <v>47</v>
      </c>
      <c r="J30" s="23"/>
      <c r="K30" s="220"/>
      <c r="L30" s="235"/>
      <c r="M30" s="201"/>
      <c r="N30" s="198"/>
    </row>
    <row r="31" spans="1:14" s="200" customFormat="1" ht="19.95" customHeight="1" x14ac:dyDescent="0.3">
      <c r="A31" s="231"/>
      <c r="B31" s="217"/>
      <c r="C31" s="218"/>
      <c r="D31" s="12"/>
      <c r="E31" s="221" t="s">
        <v>154</v>
      </c>
      <c r="F31" s="221"/>
      <c r="G31" s="221"/>
      <c r="H31" s="222">
        <f>H30/100</f>
        <v>3.3125</v>
      </c>
      <c r="I31" s="223" t="s">
        <v>153</v>
      </c>
      <c r="J31" s="23" t="s">
        <v>73</v>
      </c>
      <c r="K31" s="220">
        <f>IF(B24="CA044",IF(J31="Rate",289,0),"")</f>
        <v>289</v>
      </c>
      <c r="L31" s="236">
        <f>IF(H31*K31&lt;&gt;0,H31*K31,0)</f>
        <v>957.3125</v>
      </c>
      <c r="M31" s="199"/>
    </row>
    <row r="32" spans="1:14" s="200" customFormat="1" ht="13.95" customHeight="1" x14ac:dyDescent="0.3">
      <c r="A32" s="232"/>
      <c r="B32" s="224"/>
      <c r="C32" s="225"/>
      <c r="D32" s="106"/>
      <c r="E32" s="226"/>
      <c r="F32" s="226"/>
      <c r="G32" s="226"/>
      <c r="H32" s="209"/>
      <c r="I32" s="227"/>
      <c r="J32" s="210"/>
      <c r="K32" s="211"/>
      <c r="L32" s="237"/>
      <c r="M32" s="199"/>
    </row>
    <row r="33" spans="1:12" s="45" customFormat="1" ht="148.19999999999999" x14ac:dyDescent="0.3">
      <c r="A33" s="91">
        <f>IFERROR(LOOKUP(2,1/(ISNUMBER($A$2:$A$32)),$A$2:$A$32),0)+1</f>
        <v>6</v>
      </c>
      <c r="B33" s="50" t="s">
        <v>145</v>
      </c>
      <c r="C33" s="53" t="s">
        <v>148</v>
      </c>
      <c r="D33" s="128"/>
      <c r="E33" s="129"/>
      <c r="F33" s="129"/>
      <c r="G33" s="129"/>
      <c r="H33" s="67"/>
      <c r="I33" s="130"/>
      <c r="J33" s="75"/>
      <c r="K33" s="77"/>
      <c r="L33" s="131"/>
    </row>
    <row r="34" spans="1:12" ht="13.95" customHeight="1" x14ac:dyDescent="0.3">
      <c r="A34" s="114"/>
      <c r="B34" s="147"/>
      <c r="C34" s="98" t="s">
        <v>146</v>
      </c>
      <c r="D34" s="99">
        <v>1</v>
      </c>
      <c r="E34" s="98">
        <v>40</v>
      </c>
      <c r="F34" s="98"/>
      <c r="G34" s="98"/>
      <c r="H34" s="66">
        <f>D34*IF(OR(E34=0,E34="-"),1,E34)*IF(OR(F34=0,F34="-"),1,F34)*IF(OR(G34=0,G34="-"),1,G34)</f>
        <v>40</v>
      </c>
      <c r="I34" s="100" t="s">
        <v>64</v>
      </c>
      <c r="J34" s="95"/>
      <c r="K34" s="96"/>
      <c r="L34" s="118"/>
    </row>
    <row r="35" spans="1:12" ht="13.95" customHeight="1" x14ac:dyDescent="0.3">
      <c r="A35" s="113"/>
      <c r="B35" s="145"/>
      <c r="C35" s="56"/>
      <c r="D35" s="52"/>
      <c r="E35" s="56"/>
      <c r="F35" s="57" t="s">
        <v>147</v>
      </c>
      <c r="G35" s="57"/>
      <c r="H35" s="68">
        <f>SUM(H34:INDEX(H:H,ROW()-1))</f>
        <v>40</v>
      </c>
      <c r="I35" s="35" t="s">
        <v>64</v>
      </c>
      <c r="J35" s="74"/>
      <c r="K35" s="97">
        <f>0</f>
        <v>0</v>
      </c>
      <c r="L35" s="117"/>
    </row>
    <row r="36" spans="1:12" ht="28.8" x14ac:dyDescent="0.3">
      <c r="A36" s="93"/>
      <c r="B36" s="146"/>
      <c r="C36" s="36"/>
      <c r="D36" s="38"/>
      <c r="E36" s="37" t="s">
        <v>147</v>
      </c>
      <c r="F36" s="37"/>
      <c r="G36" s="37"/>
      <c r="H36" s="69">
        <f>ROUND(H35*1,3)</f>
        <v>40</v>
      </c>
      <c r="I36" s="81" t="s">
        <v>64</v>
      </c>
      <c r="J36" s="74" t="s">
        <v>60</v>
      </c>
      <c r="K36" s="79">
        <f>IF(B33="6.34.6",IF(J36="Labour Rate",2,IF(J36="Material Rate",59,IF(J36="Through Rate",61,IF(J36="Labour Rate Amnd",6,IF(J36="Material Rate Amnd",62,IF(J36="Through Rate Amnd",68,0)))))),"")</f>
        <v>68</v>
      </c>
      <c r="L36" s="65">
        <f>IF(H36*K36&lt;&gt;0,H36*K36,0)</f>
        <v>2720</v>
      </c>
    </row>
    <row r="37" spans="1:12" ht="13.95" customHeight="1" x14ac:dyDescent="0.3">
      <c r="A37" s="114"/>
      <c r="B37" s="147"/>
      <c r="C37" s="98"/>
      <c r="D37" s="99"/>
      <c r="E37" s="98"/>
      <c r="F37" s="98"/>
      <c r="G37" s="98"/>
      <c r="H37" s="94"/>
      <c r="I37" s="100"/>
      <c r="J37" s="95"/>
      <c r="K37" s="96"/>
      <c r="L37" s="118"/>
    </row>
    <row r="38" spans="1:12" s="45" customFormat="1" ht="162" x14ac:dyDescent="0.3">
      <c r="A38" s="91">
        <f>IFERROR(LOOKUP(2,1/(ISNUMBER($A$2:$A$37)),$A$2:$A$37),0)+1</f>
        <v>7</v>
      </c>
      <c r="B38" s="50" t="s">
        <v>0</v>
      </c>
      <c r="C38" s="53" t="s">
        <v>69</v>
      </c>
      <c r="D38" s="128"/>
      <c r="E38" s="129"/>
      <c r="F38" s="129"/>
      <c r="G38" s="129"/>
      <c r="H38" s="67"/>
      <c r="I38" s="130"/>
      <c r="J38" s="75"/>
      <c r="K38" s="77"/>
      <c r="L38" s="131"/>
    </row>
    <row r="39" spans="1:12" ht="15.6" x14ac:dyDescent="0.3">
      <c r="A39" s="112"/>
      <c r="B39" s="144"/>
      <c r="C39" s="54" t="s">
        <v>1</v>
      </c>
      <c r="D39" s="51"/>
      <c r="E39" s="54"/>
      <c r="F39" s="54"/>
      <c r="G39" s="54"/>
      <c r="H39" s="94"/>
      <c r="I39" s="47"/>
      <c r="J39" s="95"/>
      <c r="K39" s="96"/>
      <c r="L39" s="116"/>
    </row>
    <row r="40" spans="1:12" ht="15.6" x14ac:dyDescent="0.3">
      <c r="A40" s="112"/>
      <c r="B40" s="144"/>
      <c r="C40" s="101" t="s">
        <v>2</v>
      </c>
      <c r="D40" s="51"/>
      <c r="E40" s="54"/>
      <c r="F40" s="54"/>
      <c r="G40" s="54"/>
      <c r="H40" s="94"/>
      <c r="I40" s="47"/>
      <c r="J40" s="95"/>
      <c r="K40" s="96"/>
      <c r="L40" s="116"/>
    </row>
    <row r="41" spans="1:12" ht="15.6" x14ac:dyDescent="0.3">
      <c r="A41" s="112"/>
      <c r="B41" s="144"/>
      <c r="C41" s="54"/>
      <c r="D41" s="51">
        <v>10</v>
      </c>
      <c r="E41" s="54">
        <v>4</v>
      </c>
      <c r="F41" s="54">
        <v>6</v>
      </c>
      <c r="G41" s="54"/>
      <c r="H41" s="66">
        <f>D41*IF(OR(E41=0,E41="-"),1,E41)*IF(OR(F41=0,F41="-"),1,F41)*IF(OR(G41=0,G41="-"),1,G41)</f>
        <v>240</v>
      </c>
      <c r="I41" s="47" t="s">
        <v>3</v>
      </c>
      <c r="J41" s="95"/>
      <c r="K41" s="96"/>
      <c r="L41" s="116"/>
    </row>
    <row r="42" spans="1:12" ht="15.6" x14ac:dyDescent="0.3">
      <c r="A42" s="113"/>
      <c r="B42" s="145"/>
      <c r="C42" s="56"/>
      <c r="D42" s="52"/>
      <c r="E42" s="56"/>
      <c r="F42" s="57" t="s">
        <v>4</v>
      </c>
      <c r="G42" s="57"/>
      <c r="H42" s="68">
        <f>SUM(H41:INDEX(H:H,ROW()-1))</f>
        <v>240</v>
      </c>
      <c r="I42" s="35" t="s">
        <v>3</v>
      </c>
      <c r="J42" s="74"/>
      <c r="K42" s="78"/>
      <c r="L42" s="117"/>
    </row>
    <row r="43" spans="1:12" ht="15.6" x14ac:dyDescent="0.3">
      <c r="A43" s="93"/>
      <c r="B43" s="146"/>
      <c r="C43" s="36"/>
      <c r="D43" s="38"/>
      <c r="E43" s="37" t="s">
        <v>48</v>
      </c>
      <c r="F43" s="37"/>
      <c r="G43" s="37"/>
      <c r="H43" s="69">
        <f>ROUND(H42*0.3048,3)</f>
        <v>73.152000000000001</v>
      </c>
      <c r="I43" s="80" t="s">
        <v>47</v>
      </c>
      <c r="J43" s="74"/>
      <c r="K43" s="78"/>
      <c r="L43" s="119"/>
    </row>
    <row r="44" spans="1:12" ht="31.05" customHeight="1" x14ac:dyDescent="0.3">
      <c r="A44" s="92"/>
      <c r="B44" s="148"/>
      <c r="C44" s="58"/>
      <c r="D44" s="43"/>
      <c r="E44" s="44" t="s">
        <v>55</v>
      </c>
      <c r="F44" s="44"/>
      <c r="G44" s="44"/>
      <c r="H44" s="69">
        <f>(H43*12^2)/162</f>
        <v>65.024000000000001</v>
      </c>
      <c r="I44" s="41" t="s">
        <v>5</v>
      </c>
      <c r="J44" s="76" t="s">
        <v>6</v>
      </c>
      <c r="K44" s="78"/>
      <c r="L44" s="64"/>
    </row>
    <row r="45" spans="1:12" ht="13.95" customHeight="1" x14ac:dyDescent="0.3">
      <c r="A45" s="114"/>
      <c r="B45" s="147"/>
      <c r="C45" s="98"/>
      <c r="D45" s="99"/>
      <c r="E45" s="98"/>
      <c r="F45" s="98"/>
      <c r="G45" s="98"/>
      <c r="H45" s="94"/>
      <c r="I45" s="100"/>
      <c r="J45" s="95"/>
      <c r="K45" s="96"/>
      <c r="L45" s="118"/>
    </row>
    <row r="46" spans="1:12" ht="15.6" x14ac:dyDescent="0.3">
      <c r="A46" s="112"/>
      <c r="B46" s="144"/>
      <c r="C46" s="101" t="s">
        <v>7</v>
      </c>
      <c r="D46" s="51"/>
      <c r="E46" s="54"/>
      <c r="F46" s="54"/>
      <c r="G46" s="54"/>
      <c r="H46" s="94"/>
      <c r="I46" s="47"/>
      <c r="J46" s="95"/>
      <c r="K46" s="96"/>
      <c r="L46" s="116"/>
    </row>
    <row r="47" spans="1:12" ht="15.6" x14ac:dyDescent="0.3">
      <c r="A47" s="112"/>
      <c r="B47" s="144"/>
      <c r="C47" s="54" t="s">
        <v>8</v>
      </c>
      <c r="D47" s="51">
        <v>120</v>
      </c>
      <c r="E47" s="54">
        <v>5.416666666666667</v>
      </c>
      <c r="F47" s="54"/>
      <c r="G47" s="54"/>
      <c r="H47" s="66">
        <f>D47*IF(OR(E47=0,E47="-"),1,E47)*IF(OR(F47=0,F47="-"),1,F47)*IF(OR(G47=0,G47="-"),1,G47)</f>
        <v>650</v>
      </c>
      <c r="I47" s="47" t="s">
        <v>3</v>
      </c>
      <c r="J47" s="95"/>
      <c r="K47" s="96"/>
      <c r="L47" s="116"/>
    </row>
    <row r="48" spans="1:12" ht="15.6" x14ac:dyDescent="0.3">
      <c r="A48" s="113"/>
      <c r="B48" s="145"/>
      <c r="C48" s="56"/>
      <c r="D48" s="52"/>
      <c r="E48" s="56"/>
      <c r="F48" s="57" t="s">
        <v>4</v>
      </c>
      <c r="G48" s="57"/>
      <c r="H48" s="68">
        <f>SUM(H47:INDEX(H:H,ROW()-1))</f>
        <v>650</v>
      </c>
      <c r="I48" s="35" t="s">
        <v>3</v>
      </c>
      <c r="J48" s="74"/>
      <c r="K48" s="78"/>
      <c r="L48" s="117"/>
    </row>
    <row r="49" spans="1:12" ht="15.6" x14ac:dyDescent="0.3">
      <c r="A49" s="93"/>
      <c r="B49" s="146"/>
      <c r="C49" s="36"/>
      <c r="D49" s="38"/>
      <c r="E49" s="37" t="s">
        <v>48</v>
      </c>
      <c r="F49" s="37"/>
      <c r="G49" s="37"/>
      <c r="H49" s="69">
        <f>ROUND(H48*0.3048,3)</f>
        <v>198.12</v>
      </c>
      <c r="I49" s="80" t="s">
        <v>47</v>
      </c>
      <c r="J49" s="74"/>
      <c r="K49" s="78"/>
      <c r="L49" s="119"/>
    </row>
    <row r="50" spans="1:12" ht="31.05" customHeight="1" x14ac:dyDescent="0.3">
      <c r="A50" s="92"/>
      <c r="B50" s="148"/>
      <c r="C50" s="58"/>
      <c r="D50" s="43"/>
      <c r="E50" s="44" t="s">
        <v>54</v>
      </c>
      <c r="F50" s="44"/>
      <c r="G50" s="44"/>
      <c r="H50" s="69">
        <f>(H49*8^2)/162</f>
        <v>78.269629629629634</v>
      </c>
      <c r="I50" s="41" t="s">
        <v>5</v>
      </c>
      <c r="J50" s="76" t="s">
        <v>9</v>
      </c>
      <c r="K50" s="78"/>
      <c r="L50" s="64"/>
    </row>
    <row r="51" spans="1:12" ht="13.95" customHeight="1" x14ac:dyDescent="0.3">
      <c r="A51" s="114"/>
      <c r="B51" s="147"/>
      <c r="C51" s="98"/>
      <c r="D51" s="99"/>
      <c r="E51" s="98"/>
      <c r="F51" s="98"/>
      <c r="G51" s="98"/>
      <c r="H51" s="94"/>
      <c r="I51" s="100"/>
      <c r="J51" s="95"/>
      <c r="K51" s="97">
        <f>0</f>
        <v>0</v>
      </c>
      <c r="L51" s="118"/>
    </row>
    <row r="52" spans="1:12" ht="28.8" x14ac:dyDescent="0.3">
      <c r="A52" s="93"/>
      <c r="B52" s="146"/>
      <c r="C52" s="36"/>
      <c r="D52" s="38"/>
      <c r="E52" s="46" t="s">
        <v>10</v>
      </c>
      <c r="F52" s="46"/>
      <c r="G52" s="46"/>
      <c r="H52" s="70">
        <f>ROUND(SUM(H44,H50),3)</f>
        <v>143.29400000000001</v>
      </c>
      <c r="I52" s="81" t="s">
        <v>64</v>
      </c>
      <c r="J52" s="74" t="s">
        <v>60</v>
      </c>
      <c r="K52" s="79">
        <f>IF(B38="6.33.6",IF(J52="Labour Rate",2,IF(J52="Material Rate",59,IF(J52="Through Rate",61,IF(J52="Labour Rate Amnd",7,IF(J52="Material Rate Amnd",59,IF(J52="Through Rate Amnd",66,0)))))),"")</f>
        <v>66</v>
      </c>
      <c r="L52" s="65">
        <f>IF(H52*K52&lt;&gt;0,H52*K52,0)</f>
        <v>9457.4040000000005</v>
      </c>
    </row>
    <row r="53" spans="1:12" ht="13.95" customHeight="1" x14ac:dyDescent="0.3">
      <c r="A53" s="114"/>
      <c r="B53" s="147"/>
      <c r="C53" s="98"/>
      <c r="D53" s="99"/>
      <c r="E53" s="98"/>
      <c r="F53" s="98"/>
      <c r="G53" s="98"/>
      <c r="H53" s="94"/>
      <c r="I53" s="100"/>
      <c r="J53" s="95"/>
      <c r="K53" s="96"/>
      <c r="L53" s="118"/>
    </row>
    <row r="54" spans="1:12" s="45" customFormat="1" ht="41.4" x14ac:dyDescent="0.3">
      <c r="A54" s="91">
        <f>IFERROR(LOOKUP(2,1/(ISNUMBER($A$2:$A$53)),$A$2:$A$53),0)+1</f>
        <v>8</v>
      </c>
      <c r="B54" s="50" t="s">
        <v>67</v>
      </c>
      <c r="C54" s="53" t="s">
        <v>68</v>
      </c>
      <c r="D54" s="128"/>
      <c r="E54" s="129"/>
      <c r="F54" s="129"/>
      <c r="G54" s="129"/>
      <c r="H54" s="67"/>
      <c r="I54" s="130"/>
      <c r="J54" s="75"/>
      <c r="K54" s="77"/>
      <c r="L54" s="131"/>
    </row>
    <row r="55" spans="1:12" ht="15.6" x14ac:dyDescent="0.3">
      <c r="A55" s="112"/>
      <c r="B55" s="144"/>
      <c r="C55" s="1" t="s">
        <v>11</v>
      </c>
      <c r="D55" s="2"/>
      <c r="E55" s="2"/>
      <c r="F55" s="3"/>
      <c r="G55" s="2"/>
      <c r="H55" s="4"/>
      <c r="I55" s="5"/>
      <c r="J55" s="95"/>
      <c r="K55" s="96"/>
      <c r="L55" s="116"/>
    </row>
    <row r="56" spans="1:12" ht="16.2" x14ac:dyDescent="0.3">
      <c r="A56" s="112"/>
      <c r="B56" s="144"/>
      <c r="C56" s="6" t="s">
        <v>52</v>
      </c>
      <c r="D56" s="2">
        <v>10</v>
      </c>
      <c r="E56" s="2">
        <v>1</v>
      </c>
      <c r="F56" s="3">
        <v>1</v>
      </c>
      <c r="G56" s="2"/>
      <c r="H56" s="71">
        <f>D56*IF(OR(E56=0,E56="-"),1,E56)*IF(OR(F56=0,F56="-"),1,F56)*IF(OR(G56=0,G56="-"),1,G56)</f>
        <v>10</v>
      </c>
      <c r="I56" s="5" t="s">
        <v>12</v>
      </c>
      <c r="J56" s="95"/>
      <c r="K56" s="96"/>
      <c r="L56" s="116"/>
    </row>
    <row r="57" spans="1:12" ht="15.6" x14ac:dyDescent="0.3">
      <c r="A57" s="112"/>
      <c r="B57" s="144"/>
      <c r="C57" s="7"/>
      <c r="D57" s="2">
        <v>10</v>
      </c>
      <c r="E57" s="2">
        <v>0.83299999999999996</v>
      </c>
      <c r="F57" s="3">
        <v>0.83299999999999996</v>
      </c>
      <c r="G57" s="2"/>
      <c r="H57" s="71">
        <f>D57*IF(OR(E57=0,E57="-"),1,E57)*IF(OR(F57=0,F57="-"),1,F57)*IF(OR(G57=0,G57="-"),1,G57)</f>
        <v>6.9388899999999998</v>
      </c>
      <c r="I57" s="5" t="s">
        <v>12</v>
      </c>
      <c r="J57" s="95"/>
      <c r="K57" s="96"/>
      <c r="L57" s="116"/>
    </row>
    <row r="58" spans="1:12" ht="15.6" x14ac:dyDescent="0.3">
      <c r="A58" s="113"/>
      <c r="B58" s="145"/>
      <c r="C58" s="8"/>
      <c r="D58" s="9"/>
      <c r="E58" s="9"/>
      <c r="F58" s="34" t="s">
        <v>13</v>
      </c>
      <c r="G58" s="34"/>
      <c r="H58" s="72">
        <f>SUM(H56:INDEX(H:H,ROW()-1))</f>
        <v>16.938890000000001</v>
      </c>
      <c r="I58" s="10" t="s">
        <v>12</v>
      </c>
      <c r="J58" s="74"/>
      <c r="K58" s="78"/>
      <c r="L58" s="117"/>
    </row>
    <row r="59" spans="1:12" ht="15.6" x14ac:dyDescent="0.3">
      <c r="A59" s="93"/>
      <c r="B59" s="146"/>
      <c r="C59" s="11"/>
      <c r="D59" s="12"/>
      <c r="E59" s="33" t="s">
        <v>14</v>
      </c>
      <c r="F59" s="33"/>
      <c r="G59" s="33"/>
      <c r="H59" s="73">
        <f>ROUND(H58*0.09290304,3)</f>
        <v>1.5740000000000001</v>
      </c>
      <c r="I59" s="13" t="s">
        <v>15</v>
      </c>
      <c r="J59" s="74"/>
      <c r="K59" s="78"/>
      <c r="L59" s="119"/>
    </row>
    <row r="60" spans="1:12" ht="31.05" customHeight="1" x14ac:dyDescent="0.3">
      <c r="A60" s="92"/>
      <c r="B60" s="148"/>
      <c r="C60" s="58"/>
      <c r="D60" s="43"/>
      <c r="E60" s="42" t="s">
        <v>53</v>
      </c>
      <c r="F60" s="42"/>
      <c r="G60" s="42"/>
      <c r="H60" s="69">
        <f>H59*32.4</f>
        <v>50.997599999999998</v>
      </c>
      <c r="I60" s="41" t="s">
        <v>5</v>
      </c>
      <c r="J60" s="76" t="s">
        <v>6</v>
      </c>
      <c r="K60" s="78"/>
      <c r="L60" s="64"/>
    </row>
    <row r="61" spans="1:12" ht="13.95" customHeight="1" x14ac:dyDescent="0.3">
      <c r="A61" s="114"/>
      <c r="B61" s="147"/>
      <c r="C61" s="98"/>
      <c r="D61" s="99"/>
      <c r="E61" s="98"/>
      <c r="F61" s="98"/>
      <c r="G61" s="98"/>
      <c r="H61" s="94"/>
      <c r="I61" s="100"/>
      <c r="J61" s="95"/>
      <c r="K61" s="97">
        <f>0</f>
        <v>0</v>
      </c>
      <c r="L61" s="118"/>
    </row>
    <row r="62" spans="1:12" ht="28.8" x14ac:dyDescent="0.3">
      <c r="A62" s="93"/>
      <c r="B62" s="146"/>
      <c r="C62" s="36"/>
      <c r="D62" s="38"/>
      <c r="E62" s="46" t="s">
        <v>66</v>
      </c>
      <c r="F62" s="46"/>
      <c r="G62" s="46"/>
      <c r="H62" s="70">
        <f>ROUND(SUM(H60),3)</f>
        <v>50.997999999999998</v>
      </c>
      <c r="I62" s="81" t="s">
        <v>64</v>
      </c>
      <c r="J62" s="74" t="s">
        <v>37</v>
      </c>
      <c r="K62" s="79">
        <f>IF(B54="13.31",IF(J62="Labour Rate",7,IF(J62="Material Rate",59,IF(J62="Through Rate",66,0))),"")</f>
        <v>66</v>
      </c>
      <c r="L62" s="65">
        <f>IF(H62*K62&lt;&gt;0,H62*K62,0)</f>
        <v>3365.8679999999999</v>
      </c>
    </row>
    <row r="63" spans="1:12" ht="13.95" customHeight="1" x14ac:dyDescent="0.3">
      <c r="A63" s="114"/>
      <c r="B63" s="147"/>
      <c r="C63" s="98"/>
      <c r="D63" s="99"/>
      <c r="E63" s="98"/>
      <c r="F63" s="98"/>
      <c r="G63" s="98"/>
      <c r="H63" s="94"/>
      <c r="I63" s="100"/>
      <c r="J63" s="95"/>
      <c r="K63" s="96"/>
      <c r="L63" s="118"/>
    </row>
    <row r="64" spans="1:12" s="45" customFormat="1" ht="93" x14ac:dyDescent="0.3">
      <c r="A64" s="91">
        <f>IFERROR(LOOKUP(2,1/(ISNUMBER($A$2:$A$63)),$A$2:$A$63),0)+1</f>
        <v>9</v>
      </c>
      <c r="B64" s="50" t="s">
        <v>16</v>
      </c>
      <c r="C64" s="53" t="s">
        <v>65</v>
      </c>
      <c r="D64" s="128"/>
      <c r="E64" s="129"/>
      <c r="F64" s="129"/>
      <c r="G64" s="129"/>
      <c r="H64" s="67"/>
      <c r="I64" s="130"/>
      <c r="J64" s="75"/>
      <c r="K64" s="77"/>
      <c r="L64" s="131"/>
    </row>
    <row r="65" spans="1:12" ht="15.6" x14ac:dyDescent="0.3">
      <c r="A65" s="112"/>
      <c r="B65" s="144"/>
      <c r="C65" s="54" t="s">
        <v>17</v>
      </c>
      <c r="D65" s="51"/>
      <c r="E65" s="54"/>
      <c r="F65" s="54"/>
      <c r="G65" s="54"/>
      <c r="H65" s="94"/>
      <c r="I65" s="47"/>
      <c r="J65" s="95"/>
      <c r="K65" s="96"/>
      <c r="L65" s="116"/>
    </row>
    <row r="66" spans="1:12" ht="15.6" x14ac:dyDescent="0.3">
      <c r="A66" s="112"/>
      <c r="B66" s="144"/>
      <c r="C66" s="101" t="s">
        <v>51</v>
      </c>
      <c r="D66" s="51">
        <v>10</v>
      </c>
      <c r="E66" s="54">
        <v>14</v>
      </c>
      <c r="F66" s="54"/>
      <c r="G66" s="54"/>
      <c r="H66" s="66">
        <f>D66*IF(OR(E66=0,E66="-"),1,E66)*IF(OR(F66=0,F66="-"),1,F66)*IF(OR(G66=0,G66="-"),1,G66)</f>
        <v>140</v>
      </c>
      <c r="I66" s="47" t="s">
        <v>3</v>
      </c>
      <c r="J66" s="95"/>
      <c r="K66" s="96"/>
      <c r="L66" s="116"/>
    </row>
    <row r="67" spans="1:12" ht="15.6" x14ac:dyDescent="0.3">
      <c r="A67" s="113"/>
      <c r="B67" s="145"/>
      <c r="C67" s="56"/>
      <c r="D67" s="52"/>
      <c r="E67" s="56"/>
      <c r="F67" s="57" t="s">
        <v>4</v>
      </c>
      <c r="G67" s="57"/>
      <c r="H67" s="68">
        <f>SUM(H66:INDEX(H:H,ROW()-1))</f>
        <v>140</v>
      </c>
      <c r="I67" s="35" t="s">
        <v>3</v>
      </c>
      <c r="J67" s="74"/>
      <c r="K67" s="78"/>
      <c r="L67" s="117"/>
    </row>
    <row r="68" spans="1:12" ht="15.6" x14ac:dyDescent="0.3">
      <c r="A68" s="93"/>
      <c r="B68" s="146"/>
      <c r="C68" s="36"/>
      <c r="D68" s="38"/>
      <c r="E68" s="37" t="s">
        <v>48</v>
      </c>
      <c r="F68" s="37"/>
      <c r="G68" s="37"/>
      <c r="H68" s="69">
        <f>ROUND(H67*0.3048,3)</f>
        <v>42.671999999999997</v>
      </c>
      <c r="I68" s="80" t="s">
        <v>47</v>
      </c>
      <c r="J68" s="74"/>
      <c r="K68" s="78"/>
      <c r="L68" s="119"/>
    </row>
    <row r="69" spans="1:12" ht="31.05" customHeight="1" x14ac:dyDescent="0.3">
      <c r="A69" s="92"/>
      <c r="B69" s="148"/>
      <c r="C69" s="58"/>
      <c r="D69" s="43"/>
      <c r="E69" s="42" t="s">
        <v>18</v>
      </c>
      <c r="F69" s="42"/>
      <c r="G69" s="42"/>
      <c r="H69" s="69">
        <f>H68*18.361</f>
        <v>783.50059199999998</v>
      </c>
      <c r="I69" s="41" t="s">
        <v>5</v>
      </c>
      <c r="J69" s="76" t="s">
        <v>6</v>
      </c>
      <c r="K69" s="78"/>
      <c r="L69" s="64"/>
    </row>
    <row r="70" spans="1:12" ht="13.95" customHeight="1" x14ac:dyDescent="0.3">
      <c r="A70" s="114"/>
      <c r="B70" s="147"/>
      <c r="C70" s="98"/>
      <c r="D70" s="99"/>
      <c r="E70" s="98"/>
      <c r="F70" s="98"/>
      <c r="G70" s="98"/>
      <c r="H70" s="94"/>
      <c r="I70" s="100"/>
      <c r="J70" s="95"/>
      <c r="K70" s="96"/>
      <c r="L70" s="118"/>
    </row>
    <row r="71" spans="1:12" ht="15.6" x14ac:dyDescent="0.3">
      <c r="A71" s="112"/>
      <c r="B71" s="144"/>
      <c r="C71" s="54" t="s">
        <v>19</v>
      </c>
      <c r="D71" s="51">
        <v>4</v>
      </c>
      <c r="E71" s="54">
        <v>1</v>
      </c>
      <c r="F71" s="54">
        <v>40</v>
      </c>
      <c r="G71" s="54"/>
      <c r="H71" s="66">
        <f>D71*IF(OR(E71=0,E71="-"),1,E71)*IF(OR(F71=0,F71="-"),1,F71)*IF(OR(G71=0,G71="-"),1,G71)</f>
        <v>160</v>
      </c>
      <c r="I71" s="47" t="s">
        <v>3</v>
      </c>
      <c r="J71" s="95"/>
      <c r="K71" s="96"/>
      <c r="L71" s="116"/>
    </row>
    <row r="72" spans="1:12" ht="15.6" x14ac:dyDescent="0.3">
      <c r="A72" s="112"/>
      <c r="B72" s="144"/>
      <c r="C72" s="101" t="s">
        <v>50</v>
      </c>
      <c r="D72" s="51">
        <v>4</v>
      </c>
      <c r="E72" s="54">
        <v>1</v>
      </c>
      <c r="F72" s="54">
        <v>41</v>
      </c>
      <c r="G72" s="54"/>
      <c r="H72" s="66">
        <f>D72*IF(OR(E72=0,E72="-"),1,E72)*IF(OR(F72=0,F72="-"),1,F72)*IF(OR(G72=0,G72="-"),1,G72)</f>
        <v>164</v>
      </c>
      <c r="I72" s="47" t="s">
        <v>3</v>
      </c>
      <c r="J72" s="95"/>
      <c r="K72" s="96"/>
      <c r="L72" s="116"/>
    </row>
    <row r="73" spans="1:12" ht="15.6" x14ac:dyDescent="0.3">
      <c r="A73" s="113"/>
      <c r="B73" s="145"/>
      <c r="C73" s="56"/>
      <c r="D73" s="52"/>
      <c r="E73" s="56"/>
      <c r="F73" s="57" t="s">
        <v>4</v>
      </c>
      <c r="G73" s="57"/>
      <c r="H73" s="68">
        <f>SUM(H71:INDEX(H:H,ROW()-1))</f>
        <v>324</v>
      </c>
      <c r="I73" s="35" t="s">
        <v>3</v>
      </c>
      <c r="J73" s="74"/>
      <c r="K73" s="78"/>
      <c r="L73" s="117"/>
    </row>
    <row r="74" spans="1:12" ht="15.6" x14ac:dyDescent="0.3">
      <c r="A74" s="93"/>
      <c r="B74" s="146"/>
      <c r="C74" s="36"/>
      <c r="D74" s="38"/>
      <c r="E74" s="37" t="s">
        <v>48</v>
      </c>
      <c r="F74" s="37"/>
      <c r="G74" s="37"/>
      <c r="H74" s="69">
        <f>ROUND(H73*0.3048,3)</f>
        <v>98.754999999999995</v>
      </c>
      <c r="I74" s="80" t="s">
        <v>47</v>
      </c>
      <c r="J74" s="74"/>
      <c r="K74" s="78"/>
      <c r="L74" s="119"/>
    </row>
    <row r="75" spans="1:12" ht="31.05" customHeight="1" x14ac:dyDescent="0.3">
      <c r="A75" s="92"/>
      <c r="B75" s="148"/>
      <c r="C75" s="58"/>
      <c r="D75" s="43"/>
      <c r="E75" s="42" t="s">
        <v>20</v>
      </c>
      <c r="F75" s="42"/>
      <c r="G75" s="42"/>
      <c r="H75" s="69">
        <f>H74*6.8</f>
        <v>671.53399999999999</v>
      </c>
      <c r="I75" s="41" t="s">
        <v>5</v>
      </c>
      <c r="J75" s="76" t="s">
        <v>9</v>
      </c>
      <c r="K75" s="78"/>
      <c r="L75" s="64"/>
    </row>
    <row r="76" spans="1:12" ht="13.95" customHeight="1" x14ac:dyDescent="0.3">
      <c r="A76" s="114"/>
      <c r="B76" s="147"/>
      <c r="C76" s="98"/>
      <c r="D76" s="99"/>
      <c r="E76" s="98"/>
      <c r="F76" s="98"/>
      <c r="G76" s="98"/>
      <c r="H76" s="94"/>
      <c r="I76" s="100"/>
      <c r="J76" s="95"/>
      <c r="K76" s="96"/>
      <c r="L76" s="118"/>
    </row>
    <row r="77" spans="1:12" ht="15.6" x14ac:dyDescent="0.3">
      <c r="A77" s="112"/>
      <c r="B77" s="144"/>
      <c r="C77" s="54" t="s">
        <v>21</v>
      </c>
      <c r="D77" s="51">
        <v>4</v>
      </c>
      <c r="E77" s="54">
        <v>1</v>
      </c>
      <c r="F77" s="54">
        <v>40</v>
      </c>
      <c r="G77" s="54"/>
      <c r="H77" s="66">
        <f>D77*IF(OR(E77=0,E77="-"),1,E77)*IF(OR(F77=0,F77="-"),1,F77)*IF(OR(G77=0,G77="-"),1,G77)</f>
        <v>160</v>
      </c>
      <c r="I77" s="47" t="s">
        <v>3</v>
      </c>
      <c r="J77" s="95"/>
      <c r="K77" s="96"/>
      <c r="L77" s="116"/>
    </row>
    <row r="78" spans="1:12" ht="15.6" x14ac:dyDescent="0.3">
      <c r="A78" s="112"/>
      <c r="B78" s="144"/>
      <c r="C78" s="101" t="s">
        <v>46</v>
      </c>
      <c r="D78" s="51">
        <v>4</v>
      </c>
      <c r="E78" s="54">
        <v>1</v>
      </c>
      <c r="F78" s="54">
        <v>41</v>
      </c>
      <c r="G78" s="54"/>
      <c r="H78" s="66">
        <f>D78*IF(OR(E78=0,E78="-"),1,E78)*IF(OR(F78=0,F78="-"),1,F78)*IF(OR(G78=0,G78="-"),1,G78)</f>
        <v>164</v>
      </c>
      <c r="I78" s="47" t="s">
        <v>3</v>
      </c>
      <c r="J78" s="95"/>
      <c r="K78" s="96"/>
      <c r="L78" s="116"/>
    </row>
    <row r="79" spans="1:12" ht="15.6" x14ac:dyDescent="0.3">
      <c r="A79" s="113"/>
      <c r="B79" s="145"/>
      <c r="C79" s="56"/>
      <c r="D79" s="52"/>
      <c r="E79" s="56"/>
      <c r="F79" s="57" t="s">
        <v>4</v>
      </c>
      <c r="G79" s="57"/>
      <c r="H79" s="68">
        <f>SUM(H77:INDEX(H:H,ROW()-1))</f>
        <v>324</v>
      </c>
      <c r="I79" s="35" t="s">
        <v>3</v>
      </c>
      <c r="J79" s="74"/>
      <c r="K79" s="78"/>
      <c r="L79" s="117"/>
    </row>
    <row r="80" spans="1:12" ht="15.6" x14ac:dyDescent="0.3">
      <c r="A80" s="93"/>
      <c r="B80" s="146"/>
      <c r="C80" s="36"/>
      <c r="D80" s="38"/>
      <c r="E80" s="37" t="s">
        <v>48</v>
      </c>
      <c r="F80" s="37"/>
      <c r="G80" s="37"/>
      <c r="H80" s="69">
        <f>ROUND(H79*0.3048,3)</f>
        <v>98.754999999999995</v>
      </c>
      <c r="I80" s="80" t="s">
        <v>47</v>
      </c>
      <c r="J80" s="74"/>
      <c r="K80" s="78"/>
      <c r="L80" s="119"/>
    </row>
    <row r="81" spans="1:12" ht="31.05" customHeight="1" x14ac:dyDescent="0.3">
      <c r="A81" s="92"/>
      <c r="B81" s="148"/>
      <c r="C81" s="58"/>
      <c r="D81" s="43"/>
      <c r="E81" s="42" t="s">
        <v>49</v>
      </c>
      <c r="F81" s="42"/>
      <c r="G81" s="42"/>
      <c r="H81" s="69">
        <f>H80*7.21785</f>
        <v>712.79877675</v>
      </c>
      <c r="I81" s="41" t="s">
        <v>5</v>
      </c>
      <c r="J81" s="76" t="s">
        <v>62</v>
      </c>
      <c r="K81" s="78"/>
      <c r="L81" s="64"/>
    </row>
    <row r="82" spans="1:12" ht="13.95" customHeight="1" x14ac:dyDescent="0.3">
      <c r="A82" s="114"/>
      <c r="B82" s="147"/>
      <c r="C82" s="98"/>
      <c r="D82" s="99"/>
      <c r="E82" s="98"/>
      <c r="F82" s="98"/>
      <c r="G82" s="98"/>
      <c r="H82" s="94"/>
      <c r="I82" s="100"/>
      <c r="J82" s="95"/>
      <c r="K82" s="97">
        <f>0</f>
        <v>0</v>
      </c>
      <c r="L82" s="118"/>
    </row>
    <row r="83" spans="1:12" ht="28.8" x14ac:dyDescent="0.3">
      <c r="A83" s="93"/>
      <c r="B83" s="146"/>
      <c r="C83" s="36"/>
      <c r="D83" s="38"/>
      <c r="E83" s="46" t="s">
        <v>63</v>
      </c>
      <c r="F83" s="46"/>
      <c r="G83" s="46"/>
      <c r="H83" s="70">
        <f>ROUND(SUM(H69,H75,H81),3)</f>
        <v>2167.8330000000001</v>
      </c>
      <c r="I83" s="81" t="s">
        <v>64</v>
      </c>
      <c r="J83" s="74" t="s">
        <v>37</v>
      </c>
      <c r="K83" s="79">
        <f>IF(B64="13.30.1",IF(J83="Labour Rate",20,IF(J83="Material Rate",87,IF(J83="Through Rate",105,0))),"")</f>
        <v>105</v>
      </c>
      <c r="L83" s="65">
        <f>IF(H83*K83&lt;&gt;0,H83*K83,0)</f>
        <v>227622.465</v>
      </c>
    </row>
    <row r="84" spans="1:12" ht="13.95" customHeight="1" x14ac:dyDescent="0.3">
      <c r="A84" s="114"/>
      <c r="B84" s="147"/>
      <c r="C84" s="98"/>
      <c r="D84" s="99"/>
      <c r="E84" s="98"/>
      <c r="F84" s="98"/>
      <c r="G84" s="98"/>
      <c r="H84" s="94"/>
      <c r="I84" s="100"/>
      <c r="J84" s="95"/>
      <c r="K84" s="96"/>
      <c r="L84" s="118"/>
    </row>
    <row r="85" spans="1:12" s="45" customFormat="1" ht="65.400000000000006" x14ac:dyDescent="0.3">
      <c r="A85" s="91">
        <f>IFERROR(LOOKUP(2,1/(ISNUMBER($A$2:$A$84)),$A$2:$A$84),0)+1</f>
        <v>10</v>
      </c>
      <c r="B85" s="102" t="s">
        <v>29</v>
      </c>
      <c r="C85" s="103" t="s">
        <v>61</v>
      </c>
      <c r="D85" s="132"/>
      <c r="E85" s="133"/>
      <c r="F85" s="134"/>
      <c r="G85" s="133"/>
      <c r="H85" s="135"/>
      <c r="I85" s="136"/>
      <c r="J85" s="75"/>
      <c r="K85" s="77"/>
      <c r="L85" s="131"/>
    </row>
    <row r="86" spans="1:12" ht="15.6" x14ac:dyDescent="0.3">
      <c r="A86" s="112"/>
      <c r="B86" s="14"/>
      <c r="C86" s="15"/>
      <c r="D86" s="2">
        <v>2</v>
      </c>
      <c r="E86" s="2">
        <v>11.25</v>
      </c>
      <c r="F86" s="3">
        <v>0.75</v>
      </c>
      <c r="G86" s="2">
        <v>9</v>
      </c>
      <c r="H86" s="71">
        <f>D86*IF(OR(E86=0,E86="-"),1,E86)*IF(OR(F86=0,F86="-"),1,F86)*IF(OR(G86=0,G86="-"),1,G86)</f>
        <v>151.875</v>
      </c>
      <c r="I86" s="5" t="s">
        <v>24</v>
      </c>
      <c r="J86" s="95"/>
      <c r="K86" s="96"/>
      <c r="L86" s="116"/>
    </row>
    <row r="87" spans="1:12" ht="15.6" x14ac:dyDescent="0.3">
      <c r="A87" s="112"/>
      <c r="B87" s="14"/>
      <c r="C87" s="15"/>
      <c r="D87" s="2">
        <v>2</v>
      </c>
      <c r="E87" s="2">
        <v>4</v>
      </c>
      <c r="F87" s="3">
        <v>0.75</v>
      </c>
      <c r="G87" s="2">
        <v>9</v>
      </c>
      <c r="H87" s="71">
        <f>D87*IF(OR(E87=0,E87="-"),1,E87)*IF(OR(F87=0,F87="-"),1,F87)*IF(OR(G87=0,G87="-"),1,G87)</f>
        <v>54</v>
      </c>
      <c r="I87" s="5" t="s">
        <v>24</v>
      </c>
      <c r="J87" s="95"/>
      <c r="K87" s="96"/>
      <c r="L87" s="116"/>
    </row>
    <row r="88" spans="1:12" ht="15.6" x14ac:dyDescent="0.3">
      <c r="A88" s="112"/>
      <c r="B88" s="14"/>
      <c r="C88" s="15"/>
      <c r="D88" s="2">
        <v>1</v>
      </c>
      <c r="E88" s="2">
        <v>11.25</v>
      </c>
      <c r="F88" s="3">
        <v>0.75</v>
      </c>
      <c r="G88" s="2">
        <v>6</v>
      </c>
      <c r="H88" s="71">
        <f>D88*IF(OR(E88=0,E88="-"),1,E88)*IF(OR(F88=0,F88="-"),1,F88)*IF(OR(G88=0,G88="-"),1,G88)</f>
        <v>50.625</v>
      </c>
      <c r="I88" s="5" t="s">
        <v>24</v>
      </c>
      <c r="J88" s="95"/>
      <c r="K88" s="96"/>
      <c r="L88" s="116"/>
    </row>
    <row r="89" spans="1:12" ht="15.6" x14ac:dyDescent="0.3">
      <c r="A89" s="112"/>
      <c r="B89" s="14"/>
      <c r="C89" s="15"/>
      <c r="D89" s="2">
        <v>1</v>
      </c>
      <c r="E89" s="2">
        <v>3</v>
      </c>
      <c r="F89" s="3">
        <v>0.75</v>
      </c>
      <c r="G89" s="2">
        <v>9</v>
      </c>
      <c r="H89" s="71">
        <f>D89*IF(OR(E89=0,E89="-"),1,E89)*IF(OR(F89=0,F89="-"),1,F89)*IF(OR(G89=0,G89="-"),1,G89)</f>
        <v>20.25</v>
      </c>
      <c r="I89" s="5" t="s">
        <v>24</v>
      </c>
      <c r="J89" s="95"/>
      <c r="K89" s="96"/>
      <c r="L89" s="116"/>
    </row>
    <row r="90" spans="1:12" ht="15.6" x14ac:dyDescent="0.3">
      <c r="A90" s="112"/>
      <c r="B90" s="14"/>
      <c r="C90" s="15" t="s">
        <v>30</v>
      </c>
      <c r="D90" s="2">
        <v>-3</v>
      </c>
      <c r="E90" s="2">
        <v>2.5</v>
      </c>
      <c r="F90" s="3">
        <v>0.75</v>
      </c>
      <c r="G90" s="2">
        <v>7</v>
      </c>
      <c r="H90" s="71">
        <f>D90*IF(OR(E90=0,E90="-"),1,E90)*IF(OR(F90=0,F90="-"),1,F90)*IF(OR(G90=0,G90="-"),1,G90)</f>
        <v>-39.375</v>
      </c>
      <c r="I90" s="5" t="s">
        <v>24</v>
      </c>
      <c r="J90" s="95"/>
      <c r="K90" s="96"/>
      <c r="L90" s="116"/>
    </row>
    <row r="91" spans="1:12" ht="15.6" x14ac:dyDescent="0.3">
      <c r="A91" s="112"/>
      <c r="B91" s="14"/>
      <c r="C91" s="15" t="s">
        <v>30</v>
      </c>
      <c r="D91" s="2">
        <v>-3</v>
      </c>
      <c r="E91" s="2">
        <v>1.5</v>
      </c>
      <c r="F91" s="3">
        <v>0.75</v>
      </c>
      <c r="G91" s="2">
        <v>1.5</v>
      </c>
      <c r="H91" s="71">
        <f>D91*IF(OR(E91=0,E91="-"),1,E91)*IF(OR(F91=0,F91="-"),1,F91)*IF(OR(G91=0,G91="-"),1,G91)</f>
        <v>-5.0625</v>
      </c>
      <c r="I91" s="5" t="s">
        <v>24</v>
      </c>
      <c r="J91" s="95"/>
      <c r="K91" s="96"/>
      <c r="L91" s="116"/>
    </row>
    <row r="92" spans="1:12" ht="15.6" x14ac:dyDescent="0.3">
      <c r="A92" s="113"/>
      <c r="B92" s="149"/>
      <c r="C92" s="16"/>
      <c r="D92" s="9"/>
      <c r="E92" s="9"/>
      <c r="F92" s="39" t="s">
        <v>26</v>
      </c>
      <c r="G92" s="39"/>
      <c r="H92" s="72">
        <f>SUM(H86:INDEX(H:H,ROW()-1))</f>
        <v>232.3125</v>
      </c>
      <c r="I92" s="10" t="s">
        <v>24</v>
      </c>
      <c r="J92" s="74"/>
      <c r="K92" s="97">
        <f>0</f>
        <v>0</v>
      </c>
      <c r="L92" s="117"/>
    </row>
    <row r="93" spans="1:12" ht="28.8" x14ac:dyDescent="0.3">
      <c r="A93" s="93"/>
      <c r="B93" s="150"/>
      <c r="C93" s="17"/>
      <c r="D93" s="12"/>
      <c r="E93" s="40" t="s">
        <v>27</v>
      </c>
      <c r="F93" s="40"/>
      <c r="G93" s="40"/>
      <c r="H93" s="73">
        <f>ROUND(H92*0.028316846592,3)</f>
        <v>6.5780000000000003</v>
      </c>
      <c r="I93" s="18" t="s">
        <v>28</v>
      </c>
      <c r="J93" s="74" t="s">
        <v>60</v>
      </c>
      <c r="K93" s="79">
        <f>IF(B85="7.22.2",IF(J93="Labour Rate",572,IF(J93="Material Rate",3389,IF(J93="Through Rate",3961,IF(J93="Labour Rate Amnd",1099,IF(J93="Material Rate Amnd",3389,IF(J93="Through Rate Amnd",4488,0)))))),"")</f>
        <v>4488</v>
      </c>
      <c r="L93" s="65">
        <f>IF(H93*K93&lt;&gt;0,H93*K93,0)</f>
        <v>29522.064000000002</v>
      </c>
    </row>
    <row r="94" spans="1:12" ht="13.95" customHeight="1" x14ac:dyDescent="0.3">
      <c r="A94" s="114"/>
      <c r="B94" s="147"/>
      <c r="C94" s="98"/>
      <c r="D94" s="99"/>
      <c r="E94" s="98"/>
      <c r="F94" s="98"/>
      <c r="G94" s="98"/>
      <c r="H94" s="94"/>
      <c r="I94" s="100"/>
      <c r="J94" s="95"/>
      <c r="K94" s="96"/>
      <c r="L94" s="118"/>
    </row>
    <row r="95" spans="1:12" s="45" customFormat="1" ht="93" x14ac:dyDescent="0.3">
      <c r="A95" s="91">
        <f>IFERROR(LOOKUP(2,1/(ISNUMBER($A$2:$A$94)),$A$2:$A$94),0)+1</f>
        <v>11</v>
      </c>
      <c r="B95" s="50" t="s">
        <v>31</v>
      </c>
      <c r="C95" s="53" t="s">
        <v>59</v>
      </c>
      <c r="D95" s="128"/>
      <c r="E95" s="129"/>
      <c r="F95" s="129"/>
      <c r="G95" s="129"/>
      <c r="H95" s="67"/>
      <c r="I95" s="130"/>
      <c r="J95" s="75"/>
      <c r="K95" s="77"/>
      <c r="L95" s="131"/>
    </row>
    <row r="96" spans="1:12" ht="15.6" x14ac:dyDescent="0.3">
      <c r="A96" s="112"/>
      <c r="B96" s="144"/>
      <c r="C96" s="54"/>
      <c r="D96" s="51">
        <v>1</v>
      </c>
      <c r="E96" s="54">
        <v>1</v>
      </c>
      <c r="F96" s="54"/>
      <c r="G96" s="54"/>
      <c r="H96" s="66">
        <f>D96*IF(OR(E96=0,E96="-"),1,E96)*IF(OR(F96=0,F96="-"),1,F96)*IF(OR(G96=0,G96="-"),1,G96)</f>
        <v>1</v>
      </c>
      <c r="I96" s="47" t="s">
        <v>44</v>
      </c>
      <c r="J96" s="95"/>
      <c r="K96" s="96"/>
      <c r="L96" s="116"/>
    </row>
    <row r="97" spans="1:12" ht="15.6" x14ac:dyDescent="0.3">
      <c r="A97" s="113"/>
      <c r="B97" s="145"/>
      <c r="C97" s="56"/>
      <c r="D97" s="52"/>
      <c r="E97" s="56"/>
      <c r="F97" s="57" t="s">
        <v>45</v>
      </c>
      <c r="G97" s="57"/>
      <c r="H97" s="68">
        <f>SUM(H96:INDEX(H:H,ROW()-1))</f>
        <v>1</v>
      </c>
      <c r="I97" s="35" t="s">
        <v>44</v>
      </c>
      <c r="J97" s="74"/>
      <c r="K97" s="97">
        <f>0</f>
        <v>0</v>
      </c>
      <c r="L97" s="117"/>
    </row>
    <row r="98" spans="1:12" ht="28.8" x14ac:dyDescent="0.3">
      <c r="A98" s="93"/>
      <c r="B98" s="146"/>
      <c r="C98" s="36"/>
      <c r="D98" s="38"/>
      <c r="E98" s="37" t="s">
        <v>45</v>
      </c>
      <c r="F98" s="37"/>
      <c r="G98" s="37"/>
      <c r="H98" s="69">
        <f>ROUND(H97*1,3)</f>
        <v>1</v>
      </c>
      <c r="I98" s="81" t="s">
        <v>44</v>
      </c>
      <c r="J98" s="74" t="s">
        <v>37</v>
      </c>
      <c r="K98" s="79">
        <f>IF(B95="9.59.2",IF(J98="Labour Rate",104,IF(J98="Material Rate",43,IF(J98="Through Rate",147,0))),"")</f>
        <v>147</v>
      </c>
      <c r="L98" s="65">
        <f>IF(H98*K98&lt;&gt;0,H98*K98,0)</f>
        <v>147</v>
      </c>
    </row>
    <row r="99" spans="1:12" ht="13.95" customHeight="1" x14ac:dyDescent="0.3">
      <c r="A99" s="114"/>
      <c r="B99" s="147"/>
      <c r="C99" s="98"/>
      <c r="D99" s="99"/>
      <c r="E99" s="98"/>
      <c r="F99" s="98"/>
      <c r="G99" s="98"/>
      <c r="H99" s="94"/>
      <c r="I99" s="100"/>
      <c r="J99" s="95"/>
      <c r="K99" s="96"/>
      <c r="L99" s="118"/>
    </row>
    <row r="100" spans="1:12" s="45" customFormat="1" ht="69" x14ac:dyDescent="0.3">
      <c r="A100" s="91">
        <f>IFERROR(LOOKUP(2,1/(ISNUMBER($A$2:$A$99)),$A$2:$A$99),0)+1</f>
        <v>12</v>
      </c>
      <c r="B100" s="102" t="s">
        <v>34</v>
      </c>
      <c r="C100" s="103" t="s">
        <v>58</v>
      </c>
      <c r="D100" s="137"/>
      <c r="E100" s="138"/>
      <c r="F100" s="139"/>
      <c r="G100" s="138"/>
      <c r="H100" s="140"/>
      <c r="I100" s="141"/>
      <c r="J100" s="142"/>
      <c r="K100" s="77"/>
      <c r="L100" s="131"/>
    </row>
    <row r="101" spans="1:12" ht="15.6" x14ac:dyDescent="0.3">
      <c r="A101" s="112"/>
      <c r="B101" s="151"/>
      <c r="C101" s="19"/>
      <c r="D101" s="20">
        <v>1</v>
      </c>
      <c r="E101" s="20">
        <v>500</v>
      </c>
      <c r="F101" s="21"/>
      <c r="G101" s="20"/>
      <c r="H101" s="29">
        <f>D101*IF(OR(E101=0,E101="-"),1,E101)*IF(OR(F101=0,F101="-"),1,F101)*IF(OR(G101=0,G101="-"),1,G101)</f>
        <v>500</v>
      </c>
      <c r="I101" s="22" t="s">
        <v>43</v>
      </c>
      <c r="J101" s="23"/>
      <c r="K101" s="96"/>
      <c r="L101" s="116"/>
    </row>
    <row r="102" spans="1:12" ht="15.6" x14ac:dyDescent="0.3">
      <c r="A102" s="113"/>
      <c r="B102" s="149"/>
      <c r="C102" s="24"/>
      <c r="D102" s="9"/>
      <c r="E102" s="9"/>
      <c r="F102" s="34" t="s">
        <v>36</v>
      </c>
      <c r="G102" s="34"/>
      <c r="H102" s="72">
        <f>SUM(H101:INDEX(H:H,ROW()-1))</f>
        <v>500</v>
      </c>
      <c r="I102" s="10" t="s">
        <v>43</v>
      </c>
      <c r="J102" s="104"/>
      <c r="K102" s="97">
        <f>0</f>
        <v>0</v>
      </c>
      <c r="L102" s="117"/>
    </row>
    <row r="103" spans="1:12" ht="31.2" x14ac:dyDescent="0.3">
      <c r="A103" s="93"/>
      <c r="B103" s="150"/>
      <c r="C103" s="25"/>
      <c r="D103" s="12"/>
      <c r="E103" s="33" t="s">
        <v>36</v>
      </c>
      <c r="F103" s="33"/>
      <c r="G103" s="33"/>
      <c r="H103" s="73">
        <f>ROUND(H102*1,3)</f>
        <v>500</v>
      </c>
      <c r="I103" s="18" t="s">
        <v>57</v>
      </c>
      <c r="J103" s="104" t="s">
        <v>37</v>
      </c>
      <c r="K103" s="79">
        <f>IF(B100="22.181",IF(J103="Material Rate",6,IF(J103="Through Rate",7,0)),"")</f>
        <v>7</v>
      </c>
      <c r="L103" s="65">
        <f>IF(H103*K103&lt;&gt;0,H103*K103,0)</f>
        <v>3500</v>
      </c>
    </row>
    <row r="104" spans="1:12" ht="13.95" customHeight="1" x14ac:dyDescent="0.3">
      <c r="A104" s="114"/>
      <c r="B104" s="152"/>
      <c r="C104" s="105"/>
      <c r="D104" s="106"/>
      <c r="E104" s="106"/>
      <c r="F104" s="107"/>
      <c r="G104" s="106"/>
      <c r="H104" s="4"/>
      <c r="I104" s="108"/>
      <c r="J104" s="109"/>
      <c r="K104" s="96"/>
      <c r="L104" s="118"/>
    </row>
    <row r="105" spans="1:12" s="45" customFormat="1" ht="76.8" x14ac:dyDescent="0.3">
      <c r="A105" s="91">
        <f>IFERROR(LOOKUP(2,1/(ISNUMBER($A$2:$A$104)),$A$2:$A$104),0)+1</f>
        <v>13</v>
      </c>
      <c r="B105" s="110" t="s">
        <v>38</v>
      </c>
      <c r="C105" s="103" t="s">
        <v>56</v>
      </c>
      <c r="D105" s="137"/>
      <c r="E105" s="138"/>
      <c r="F105" s="139"/>
      <c r="G105" s="138"/>
      <c r="H105" s="140"/>
      <c r="I105" s="141"/>
      <c r="J105" s="142"/>
      <c r="K105" s="77"/>
      <c r="L105" s="131"/>
    </row>
    <row r="106" spans="1:12" ht="15.6" x14ac:dyDescent="0.3">
      <c r="A106" s="112"/>
      <c r="B106" s="151"/>
      <c r="C106" s="19"/>
      <c r="D106" s="20">
        <v>1</v>
      </c>
      <c r="E106" s="20">
        <v>40</v>
      </c>
      <c r="F106" s="21"/>
      <c r="G106" s="20"/>
      <c r="H106" s="29">
        <f>D106*IF(OR(E106=0,E106="-"),1,E106)*IF(OR(F106=0,F106="-"),1,F106)*IF(OR(G106=0,G106="-"),1,G106)</f>
        <v>40</v>
      </c>
      <c r="I106" s="22" t="s">
        <v>47</v>
      </c>
      <c r="J106" s="23"/>
      <c r="K106" s="96"/>
      <c r="L106" s="116"/>
    </row>
    <row r="107" spans="1:12" ht="15.6" x14ac:dyDescent="0.3">
      <c r="A107" s="113"/>
      <c r="B107" s="153"/>
      <c r="C107" s="27"/>
      <c r="D107" s="26"/>
      <c r="E107" s="26"/>
      <c r="F107" s="32" t="s">
        <v>48</v>
      </c>
      <c r="G107" s="32"/>
      <c r="H107" s="111">
        <f>SUM(H106:INDEX(H:H,ROW()-1))</f>
        <v>40</v>
      </c>
      <c r="I107" s="28" t="s">
        <v>47</v>
      </c>
      <c r="J107" s="23"/>
      <c r="K107" s="97">
        <f>0</f>
        <v>0</v>
      </c>
      <c r="L107" s="117"/>
    </row>
    <row r="108" spans="1:12" s="30" customFormat="1" ht="31.2" x14ac:dyDescent="0.3">
      <c r="A108" s="93"/>
      <c r="B108" s="150"/>
      <c r="C108" s="25"/>
      <c r="D108" s="12"/>
      <c r="E108" s="33" t="s">
        <v>48</v>
      </c>
      <c r="F108" s="33"/>
      <c r="G108" s="33"/>
      <c r="H108" s="73">
        <f>ROUND(H107*1,3)</f>
        <v>40</v>
      </c>
      <c r="I108" s="18" t="s">
        <v>47</v>
      </c>
      <c r="J108" s="104" t="s">
        <v>37</v>
      </c>
      <c r="K108" s="79">
        <f>IF(B105="22.222.2.2",IF(J108="Labour Rate",87,IF(J108="Material Rate",236,IF(J108="Through Rate",322,0))),"")</f>
        <v>322</v>
      </c>
      <c r="L108" s="65">
        <f>IF(H108*K108&lt;&gt;0,H108*K108,0)</f>
        <v>12880</v>
      </c>
    </row>
    <row r="109" spans="1:12" ht="13.95" customHeight="1" x14ac:dyDescent="0.3">
      <c r="A109" s="114"/>
      <c r="B109" s="147"/>
      <c r="C109" s="98"/>
      <c r="D109" s="99"/>
      <c r="E109" s="98"/>
      <c r="F109" s="98"/>
      <c r="G109" s="98"/>
      <c r="H109" s="94"/>
      <c r="I109" s="100"/>
      <c r="J109" s="95"/>
      <c r="K109" s="96"/>
      <c r="L109" s="118"/>
    </row>
    <row r="110" spans="1:12" s="45" customFormat="1" ht="15.6" x14ac:dyDescent="0.3">
      <c r="A110" s="91">
        <f>IFERROR(LOOKUP(2,1/(ISNUMBER($A$2:$A$109)),$A$2:$A$109),0)+1</f>
        <v>14</v>
      </c>
      <c r="B110" s="50" t="s">
        <v>94</v>
      </c>
      <c r="C110" s="157" t="s">
        <v>95</v>
      </c>
      <c r="D110" s="128"/>
      <c r="E110" s="129"/>
      <c r="F110" s="129"/>
      <c r="G110" s="129"/>
      <c r="H110" s="67"/>
      <c r="I110" s="130"/>
      <c r="J110" s="75"/>
      <c r="K110" s="77"/>
      <c r="L110" s="131"/>
    </row>
    <row r="111" spans="1:12" ht="15.6" x14ac:dyDescent="0.3">
      <c r="A111" s="112"/>
      <c r="B111" s="144"/>
      <c r="C111" s="54"/>
      <c r="D111" s="51">
        <v>10</v>
      </c>
      <c r="E111" s="54">
        <v>1</v>
      </c>
      <c r="F111" s="54"/>
      <c r="G111" s="54"/>
      <c r="H111" s="66">
        <f>D111*IF(OR(E111=0,E111="-"),1,E111)*IF(OR(F111=0,F111="-"),1,F111)*IF(OR(G111=0,G111="-"),1,G111)</f>
        <v>10</v>
      </c>
      <c r="I111" s="47" t="s">
        <v>96</v>
      </c>
      <c r="J111" s="95"/>
      <c r="K111" s="96"/>
      <c r="L111" s="116"/>
    </row>
    <row r="112" spans="1:12" ht="15.6" x14ac:dyDescent="0.3">
      <c r="A112" s="113"/>
      <c r="B112" s="145"/>
      <c r="C112" s="56"/>
      <c r="D112" s="52"/>
      <c r="E112" s="56"/>
      <c r="F112" s="57" t="s">
        <v>33</v>
      </c>
      <c r="G112" s="57"/>
      <c r="H112" s="68">
        <f>SUM(H111:INDEX(H:H,ROW()-1))</f>
        <v>10</v>
      </c>
      <c r="I112" s="35" t="s">
        <v>96</v>
      </c>
      <c r="J112" s="74"/>
      <c r="K112" s="78"/>
      <c r="L112" s="117"/>
    </row>
    <row r="113" spans="1:13" s="30" customFormat="1" x14ac:dyDescent="0.3">
      <c r="A113" s="63" t="s">
        <v>86</v>
      </c>
      <c r="B113" s="146"/>
      <c r="C113" s="36"/>
      <c r="D113" s="38"/>
      <c r="E113" s="37" t="s">
        <v>33</v>
      </c>
      <c r="F113" s="37"/>
      <c r="G113" s="37"/>
      <c r="H113" s="69">
        <f>ROUND(H112*1,3)</f>
        <v>10</v>
      </c>
      <c r="I113" s="80"/>
      <c r="J113" s="74" t="s">
        <v>97</v>
      </c>
      <c r="K113" s="78">
        <v>5</v>
      </c>
      <c r="L113" s="158">
        <f>IF(H113*K113&lt;&gt;0,H113*K113,0)</f>
        <v>50</v>
      </c>
    </row>
    <row r="114" spans="1:13" ht="13.95" customHeight="1" thickBot="1" x14ac:dyDescent="0.35">
      <c r="A114" s="122"/>
      <c r="B114" s="154"/>
      <c r="C114" s="123"/>
      <c r="D114" s="124"/>
      <c r="E114" s="123"/>
      <c r="F114" s="123"/>
      <c r="G114" s="123"/>
      <c r="H114" s="125"/>
      <c r="I114" s="126"/>
      <c r="J114" s="126"/>
      <c r="K114" s="126"/>
      <c r="L114" s="127"/>
    </row>
    <row r="115" spans="1:13" ht="15" thickTop="1" x14ac:dyDescent="0.3">
      <c r="E115" s="61"/>
      <c r="F115" s="61"/>
      <c r="G115" s="61"/>
      <c r="H115" s="61"/>
      <c r="I115" s="61"/>
      <c r="J115" s="120" t="s">
        <v>87</v>
      </c>
      <c r="K115" s="82"/>
      <c r="L115" s="121">
        <f>SUM(L3:INDEX(L:L,ROW()-1))</f>
        <v>295875.69449999998</v>
      </c>
      <c r="M115" s="61"/>
    </row>
    <row r="116" spans="1:13" x14ac:dyDescent="0.3">
      <c r="E116" s="61"/>
      <c r="F116" s="61"/>
      <c r="G116" s="61"/>
      <c r="H116" s="61"/>
      <c r="I116" s="61"/>
      <c r="J116" s="83" t="s">
        <v>88</v>
      </c>
      <c r="K116" s="84">
        <v>0</v>
      </c>
      <c r="L116" s="85">
        <f>$L$115 * ($K$116)</f>
        <v>0</v>
      </c>
      <c r="M116" s="61"/>
    </row>
    <row r="117" spans="1:13" ht="14.4" customHeight="1" x14ac:dyDescent="0.3">
      <c r="E117" s="61"/>
      <c r="F117" s="61"/>
      <c r="G117" s="61"/>
      <c r="H117" s="61"/>
      <c r="I117" s="61"/>
      <c r="J117" s="83" t="s">
        <v>89</v>
      </c>
      <c r="K117" s="86"/>
      <c r="L117" s="87">
        <f>$L$115 + $L$116</f>
        <v>295875.69449999998</v>
      </c>
      <c r="M117" s="61"/>
    </row>
    <row r="118" spans="1:13" ht="14.4" customHeight="1" x14ac:dyDescent="0.3">
      <c r="E118" s="61"/>
      <c r="F118" s="61"/>
      <c r="G118" s="61"/>
      <c r="H118" s="61"/>
      <c r="I118" s="61"/>
      <c r="J118" s="83" t="s">
        <v>90</v>
      </c>
      <c r="K118" s="86"/>
      <c r="L118" s="87">
        <f>$L$117*0.18</f>
        <v>53257.625009999996</v>
      </c>
      <c r="M118" s="61"/>
    </row>
    <row r="119" spans="1:13" ht="27.6" x14ac:dyDescent="0.3">
      <c r="E119" s="61"/>
      <c r="F119" s="61"/>
      <c r="G119" s="61"/>
      <c r="H119" s="61"/>
      <c r="I119" s="61"/>
      <c r="J119" s="83" t="s">
        <v>91</v>
      </c>
      <c r="K119" s="84">
        <v>0</v>
      </c>
      <c r="L119" s="85">
        <f>$L$117 * ($K$119)</f>
        <v>0</v>
      </c>
      <c r="M119" s="61"/>
    </row>
    <row r="120" spans="1:13" ht="15" customHeight="1" thickBot="1" x14ac:dyDescent="0.35">
      <c r="E120" s="61"/>
      <c r="F120" s="61"/>
      <c r="G120" s="61"/>
      <c r="H120" s="61"/>
      <c r="I120" s="61"/>
      <c r="J120" s="88" t="s">
        <v>92</v>
      </c>
      <c r="K120" s="89"/>
      <c r="L120" s="90">
        <f>$L$117+$L$118+$L$119</f>
        <v>349133.31951</v>
      </c>
      <c r="M120" s="61"/>
    </row>
    <row r="121" spans="1:13" ht="15" thickTop="1" x14ac:dyDescent="0.3">
      <c r="E121" s="61"/>
      <c r="F121" s="61"/>
      <c r="G121" s="61"/>
      <c r="H121" s="61"/>
      <c r="I121" s="61"/>
      <c r="J121" s="48"/>
      <c r="K121" s="48"/>
      <c r="L121" s="48"/>
      <c r="M121" s="61"/>
    </row>
    <row r="122" spans="1:13" x14ac:dyDescent="0.3">
      <c r="E122"/>
      <c r="F122"/>
      <c r="G122"/>
      <c r="H122"/>
      <c r="I122"/>
      <c r="J122"/>
      <c r="K122"/>
      <c r="L122"/>
    </row>
    <row r="123" spans="1:13" x14ac:dyDescent="0.3">
      <c r="E123"/>
      <c r="F123"/>
      <c r="G123"/>
      <c r="H123"/>
      <c r="I123"/>
      <c r="J123"/>
      <c r="K123"/>
      <c r="L123"/>
    </row>
    <row r="124" spans="1:13" x14ac:dyDescent="0.3">
      <c r="E124"/>
      <c r="F124"/>
      <c r="G124"/>
      <c r="H124"/>
      <c r="I124"/>
      <c r="J124"/>
      <c r="K124"/>
      <c r="L124"/>
    </row>
    <row r="125" spans="1:13" ht="15" thickBot="1" x14ac:dyDescent="0.35">
      <c r="E125"/>
      <c r="F125"/>
      <c r="G125"/>
      <c r="H125"/>
      <c r="I125"/>
      <c r="J125"/>
      <c r="K125"/>
      <c r="L125"/>
    </row>
    <row r="126" spans="1:13" ht="34.799999999999997" x14ac:dyDescent="0.3">
      <c r="E126"/>
      <c r="F126" s="287" t="s">
        <v>122</v>
      </c>
      <c r="G126" s="288"/>
      <c r="H126" s="289" t="s">
        <v>82</v>
      </c>
      <c r="I126" s="289" t="s">
        <v>83</v>
      </c>
      <c r="J126" s="289" t="s">
        <v>73</v>
      </c>
      <c r="K126" s="289" t="s">
        <v>123</v>
      </c>
      <c r="L126" s="289" t="s">
        <v>85</v>
      </c>
      <c r="M126" s="293" t="s">
        <v>124</v>
      </c>
    </row>
    <row r="127" spans="1:13" ht="30" customHeight="1" x14ac:dyDescent="0.3">
      <c r="E127" s="194" t="s">
        <v>143</v>
      </c>
      <c r="F127" s="303" t="s">
        <v>125</v>
      </c>
      <c r="G127" s="247"/>
      <c r="H127" s="248">
        <f>ROUND(SUM(H50),2)</f>
        <v>78.27</v>
      </c>
      <c r="I127" s="249" t="str">
        <f>INDEX(I2:I113,MATCH("Total (Weight of φ8mm Rebar)",E2:E113,0))</f>
        <v>Kg</v>
      </c>
      <c r="J127" s="250">
        <v>68</v>
      </c>
      <c r="K127" s="251">
        <v>0.18</v>
      </c>
      <c r="L127" s="252">
        <f>ROUND(H127*J127,0)</f>
        <v>5322</v>
      </c>
      <c r="M127" s="294">
        <f>ROUND(L127*(1+K127),0)</f>
        <v>6280</v>
      </c>
    </row>
    <row r="128" spans="1:13" ht="30" customHeight="1" x14ac:dyDescent="0.3">
      <c r="E128" s="193"/>
      <c r="F128" s="304" t="s">
        <v>126</v>
      </c>
      <c r="G128" s="253"/>
      <c r="H128" s="254">
        <f>ROUND(SUM(H44),2)</f>
        <v>65.02</v>
      </c>
      <c r="I128" s="255" t="str">
        <f>INDEX(I2:I113,MATCH("Total (Weight of φ12mm Rebar)",E2:E113,0))</f>
        <v>Kg</v>
      </c>
      <c r="J128" s="256">
        <v>68</v>
      </c>
      <c r="K128" s="257">
        <v>0.18</v>
      </c>
      <c r="L128" s="258">
        <f>ROUND(H128*J128,0)</f>
        <v>4421</v>
      </c>
      <c r="M128" s="295">
        <f>ROUND(L128*(1+K128),0)</f>
        <v>5217</v>
      </c>
    </row>
    <row r="129" spans="5:13" ht="15" customHeight="1" x14ac:dyDescent="0.3">
      <c r="E129" s="192"/>
      <c r="F129" s="305" t="s">
        <v>127</v>
      </c>
      <c r="G129" s="259"/>
      <c r="H129" s="260">
        <f>ROUND(((H93)*1.25),2)</f>
        <v>8.2200000000000006</v>
      </c>
      <c r="I129" s="261" t="s">
        <v>136</v>
      </c>
      <c r="J129" s="262">
        <v>253</v>
      </c>
      <c r="K129" s="263">
        <v>0.18</v>
      </c>
      <c r="L129" s="264">
        <f>ROUND(H129*J129,0)</f>
        <v>2080</v>
      </c>
      <c r="M129" s="296">
        <f>ROUND(L129*(1+K129),0)</f>
        <v>2454</v>
      </c>
    </row>
    <row r="130" spans="5:13" ht="15" customHeight="1" x14ac:dyDescent="0.3">
      <c r="E130" s="195"/>
      <c r="F130" s="303" t="s">
        <v>128</v>
      </c>
      <c r="G130" s="247"/>
      <c r="H130" s="248">
        <f>ROUND(((H12)*35.336),2)</f>
        <v>150.11000000000001</v>
      </c>
      <c r="I130" s="249" t="s">
        <v>137</v>
      </c>
      <c r="J130" s="250">
        <v>20</v>
      </c>
      <c r="K130" s="251">
        <v>0.05</v>
      </c>
      <c r="L130" s="252">
        <f>ROUND(H130*J130,0)</f>
        <v>3002</v>
      </c>
      <c r="M130" s="294">
        <f>ROUND(L130*(1+K130),0)</f>
        <v>3152</v>
      </c>
    </row>
    <row r="131" spans="5:13" ht="15" customHeight="1" x14ac:dyDescent="0.3">
      <c r="E131" s="195"/>
      <c r="F131" s="304" t="s">
        <v>129</v>
      </c>
      <c r="G131" s="253"/>
      <c r="H131" s="254">
        <f>ROUND(((H93)*9.452),2)</f>
        <v>62.18</v>
      </c>
      <c r="I131" s="255" t="s">
        <v>137</v>
      </c>
      <c r="J131" s="256">
        <v>48</v>
      </c>
      <c r="K131" s="257">
        <v>0.05</v>
      </c>
      <c r="L131" s="258">
        <f>ROUND(H131*J131,0)</f>
        <v>2985</v>
      </c>
      <c r="M131" s="295">
        <f>ROUND(L131*(1+K131),0)</f>
        <v>3134</v>
      </c>
    </row>
    <row r="132" spans="5:13" ht="30" customHeight="1" x14ac:dyDescent="0.3">
      <c r="E132" s="195"/>
      <c r="F132" s="306" t="s">
        <v>130</v>
      </c>
      <c r="G132" s="265"/>
      <c r="H132" s="266">
        <f>ROUND(((H93)*480),2)</f>
        <v>3157.44</v>
      </c>
      <c r="I132" s="267" t="s">
        <v>32</v>
      </c>
      <c r="J132" s="268">
        <v>7.7</v>
      </c>
      <c r="K132" s="269">
        <v>0.12</v>
      </c>
      <c r="L132" s="270">
        <f>ROUND(H132*J132,0)</f>
        <v>24312</v>
      </c>
      <c r="M132" s="297">
        <f>ROUND(L132*(1+K132),0)</f>
        <v>27229</v>
      </c>
    </row>
    <row r="133" spans="5:13" ht="30" customHeight="1" x14ac:dyDescent="0.3">
      <c r="E133" s="196" t="s">
        <v>144</v>
      </c>
      <c r="F133" s="307" t="s">
        <v>131</v>
      </c>
      <c r="G133" s="271"/>
      <c r="H133" s="272">
        <f>ROUND(((H98)*1),2)</f>
        <v>1</v>
      </c>
      <c r="I133" s="273" t="s">
        <v>44</v>
      </c>
      <c r="J133" s="274">
        <v>30</v>
      </c>
      <c r="K133" s="275">
        <v>0.18</v>
      </c>
      <c r="L133" s="276">
        <f>ROUND(H133*J133,0)</f>
        <v>30</v>
      </c>
      <c r="M133" s="298">
        <f>ROUND(L133*(1+K133),0)</f>
        <v>35</v>
      </c>
    </row>
    <row r="134" spans="5:13" ht="30" customHeight="1" x14ac:dyDescent="0.3">
      <c r="E134" s="195"/>
      <c r="F134" s="308" t="s">
        <v>132</v>
      </c>
      <c r="G134" s="277"/>
      <c r="H134" s="278">
        <f>ROUND(((H60)*1),2)</f>
        <v>51</v>
      </c>
      <c r="I134" s="279" t="s">
        <v>5</v>
      </c>
      <c r="J134" s="280">
        <v>100</v>
      </c>
      <c r="K134" s="281">
        <v>0.18</v>
      </c>
      <c r="L134" s="282">
        <f>ROUND(H134*J134,0)</f>
        <v>5100</v>
      </c>
      <c r="M134" s="299">
        <f>ROUND(L134*(1+K134),0)</f>
        <v>6018</v>
      </c>
    </row>
    <row r="135" spans="5:13" ht="15" customHeight="1" x14ac:dyDescent="0.3">
      <c r="E135" s="195"/>
      <c r="F135" s="305" t="s">
        <v>133</v>
      </c>
      <c r="G135" s="259"/>
      <c r="H135" s="260">
        <f>ROUND(((H69+H75+H81)*1),2)</f>
        <v>2167.83</v>
      </c>
      <c r="I135" s="261" t="s">
        <v>5</v>
      </c>
      <c r="J135" s="262">
        <v>95</v>
      </c>
      <c r="K135" s="263">
        <v>0.18</v>
      </c>
      <c r="L135" s="264">
        <f>ROUND(H135*J135,0)</f>
        <v>205944</v>
      </c>
      <c r="M135" s="296">
        <f>ROUND(L135*(1+K135),0)</f>
        <v>243014</v>
      </c>
    </row>
    <row r="136" spans="5:13" ht="30" customHeight="1" x14ac:dyDescent="0.3">
      <c r="E136" s="195"/>
      <c r="F136" s="303" t="s">
        <v>134</v>
      </c>
      <c r="G136" s="247"/>
      <c r="H136" s="248">
        <f>ROUND(((H108)*3.445),2)</f>
        <v>137.80000000000001</v>
      </c>
      <c r="I136" s="249" t="s">
        <v>3</v>
      </c>
      <c r="J136" s="250">
        <v>150</v>
      </c>
      <c r="K136" s="251">
        <v>0.18</v>
      </c>
      <c r="L136" s="252">
        <f>ROUND(H136*J136,0)</f>
        <v>20670</v>
      </c>
      <c r="M136" s="294">
        <f>ROUND(L136*(1+K136),0)</f>
        <v>24391</v>
      </c>
    </row>
    <row r="137" spans="5:13" ht="30" customHeight="1" x14ac:dyDescent="0.3">
      <c r="E137" s="193"/>
      <c r="F137" s="304" t="s">
        <v>135</v>
      </c>
      <c r="G137" s="253"/>
      <c r="H137" s="254">
        <f>ROUND(((H103)*1),2)</f>
        <v>500</v>
      </c>
      <c r="I137" s="255" t="s">
        <v>35</v>
      </c>
      <c r="J137" s="256">
        <v>11</v>
      </c>
      <c r="K137" s="257">
        <v>0.18</v>
      </c>
      <c r="L137" s="258">
        <f>ROUND(H137*J137,0)</f>
        <v>5500</v>
      </c>
      <c r="M137" s="295">
        <f>ROUND(L137*(1+K137),0)</f>
        <v>6490</v>
      </c>
    </row>
    <row r="138" spans="5:13" ht="45" customHeight="1" x14ac:dyDescent="0.3">
      <c r="E138" s="194" t="s">
        <v>97</v>
      </c>
      <c r="F138" s="309" t="s">
        <v>156</v>
      </c>
      <c r="G138" s="283"/>
      <c r="H138" s="266">
        <f>ROUND(SUM(H31),2)</f>
        <v>3.31</v>
      </c>
      <c r="I138" s="267" t="str">
        <f>I31</f>
        <v>100 meters</v>
      </c>
      <c r="J138" s="268">
        <v>0</v>
      </c>
      <c r="K138" s="269"/>
      <c r="L138" s="270">
        <f>ROUND(H138*J138,0)</f>
        <v>0</v>
      </c>
      <c r="M138" s="297">
        <f>ROUND(L138*(1+K138),0)</f>
        <v>0</v>
      </c>
    </row>
    <row r="139" spans="5:13" ht="30" customHeight="1" x14ac:dyDescent="0.3">
      <c r="E139" s="193"/>
      <c r="F139" s="310" t="s">
        <v>138</v>
      </c>
      <c r="G139" s="284"/>
      <c r="H139" s="272">
        <f>ROUND(SUM(H113),2)</f>
        <v>10</v>
      </c>
      <c r="I139" s="273">
        <f>I113</f>
        <v>0</v>
      </c>
      <c r="J139" s="274">
        <v>0</v>
      </c>
      <c r="K139" s="275"/>
      <c r="L139" s="276">
        <f>ROUND(H139*J139,0)</f>
        <v>0</v>
      </c>
      <c r="M139" s="298">
        <f>ROUND(L139*(1+K139),0)</f>
        <v>0</v>
      </c>
    </row>
    <row r="140" spans="5:13" ht="17.399999999999999" x14ac:dyDescent="0.3">
      <c r="E140" s="191"/>
      <c r="F140" s="285" t="s">
        <v>139</v>
      </c>
      <c r="G140" s="243"/>
      <c r="H140" s="243"/>
      <c r="I140" s="243"/>
      <c r="J140" s="243"/>
      <c r="K140" s="243"/>
      <c r="L140" s="245">
        <f>ROUND(SUM(L$127:INDEX(L:L,ROW()-1)),0)</f>
        <v>279366</v>
      </c>
      <c r="M140" s="300">
        <f>ROUND(SUM(M$127:INDEX(M:M,ROW()-1)),0)</f>
        <v>327414</v>
      </c>
    </row>
    <row r="141" spans="5:13" ht="18" x14ac:dyDescent="0.3">
      <c r="E141" s="191"/>
      <c r="F141" s="286" t="s">
        <v>140</v>
      </c>
      <c r="G141" s="244"/>
      <c r="H141" s="244"/>
      <c r="I141" s="244"/>
      <c r="J141" s="244"/>
      <c r="K141" s="244"/>
      <c r="L141" s="246">
        <f>ROUND(L117,0)</f>
        <v>295876</v>
      </c>
      <c r="M141" s="301">
        <f>ROUND(L120,0)</f>
        <v>349133</v>
      </c>
    </row>
    <row r="142" spans="5:13" ht="18" thickBot="1" x14ac:dyDescent="0.35">
      <c r="E142" s="191"/>
      <c r="F142" s="290" t="s">
        <v>141</v>
      </c>
      <c r="G142" s="291"/>
      <c r="H142" s="291"/>
      <c r="I142" s="291"/>
      <c r="J142" s="291"/>
      <c r="K142" s="291"/>
      <c r="L142" s="292">
        <f>ROUND(SUM(L$140:INDEX(L:L,ROW()-1)),0)</f>
        <v>575242</v>
      </c>
      <c r="M142" s="302">
        <f>ROUND(SUM(M$140:INDEX(M:M,ROW()-1)),0)</f>
        <v>676547</v>
      </c>
    </row>
    <row r="143" spans="5:13" ht="18" x14ac:dyDescent="0.3">
      <c r="E143" s="191"/>
      <c r="F143" s="62"/>
      <c r="G143" s="62"/>
      <c r="H143" s="62"/>
      <c r="I143" s="189" t="s">
        <v>142</v>
      </c>
      <c r="J143" s="189"/>
      <c r="K143" s="189"/>
      <c r="L143" s="190" t="str">
        <f>IF(M142&gt;=10000000,ROUND(M142/10000000,2)&amp;" Crore",IF(M142&gt;=100000,ROUND(M142/100000,2)&amp;" Lakh",IF(M142&gt;=1000,ROUND(M142/1000,2)&amp;" Thousand",ROUND(M142,0)))) &amp; " Only"</f>
        <v>6.77 Lakh Only</v>
      </c>
      <c r="M143" s="190"/>
    </row>
    <row r="144" spans="5:13" x14ac:dyDescent="0.3">
      <c r="E144" s="191"/>
      <c r="F144"/>
      <c r="G144"/>
      <c r="H144"/>
      <c r="I144"/>
      <c r="J144"/>
      <c r="K144"/>
      <c r="L144"/>
    </row>
    <row r="145" spans="5:12" hidden="1" x14ac:dyDescent="0.3">
      <c r="E145" s="191"/>
      <c r="F145"/>
      <c r="G145"/>
      <c r="H145"/>
      <c r="I145"/>
      <c r="J145"/>
      <c r="K145"/>
      <c r="L145"/>
    </row>
    <row r="146" spans="5:12" hidden="1" x14ac:dyDescent="0.3">
      <c r="E146" s="191"/>
      <c r="F146"/>
      <c r="G146"/>
      <c r="H146"/>
      <c r="I146"/>
      <c r="J146"/>
      <c r="K146"/>
      <c r="L146"/>
    </row>
    <row r="147" spans="5:12" hidden="1" x14ac:dyDescent="0.3">
      <c r="E147" s="191"/>
      <c r="F147"/>
      <c r="G147"/>
      <c r="H147"/>
      <c r="I147"/>
      <c r="J147"/>
      <c r="K147"/>
      <c r="L147"/>
    </row>
    <row r="148" spans="5:12" hidden="1" x14ac:dyDescent="0.3">
      <c r="E148" s="191"/>
      <c r="F148"/>
      <c r="G148"/>
      <c r="H148"/>
      <c r="I148"/>
      <c r="J148"/>
      <c r="K148"/>
      <c r="L148"/>
    </row>
    <row r="149" spans="5:12" hidden="1" x14ac:dyDescent="0.3">
      <c r="E149" s="191"/>
      <c r="F149"/>
      <c r="G149"/>
      <c r="H149"/>
      <c r="I149"/>
      <c r="J149"/>
      <c r="K149"/>
      <c r="L149"/>
    </row>
    <row r="150" spans="5:12" hidden="1" x14ac:dyDescent="0.3">
      <c r="E150" s="191"/>
      <c r="F150"/>
      <c r="G150"/>
      <c r="H150"/>
      <c r="I150"/>
      <c r="J150"/>
      <c r="K150"/>
      <c r="L150"/>
    </row>
    <row r="151" spans="5:12" hidden="1" x14ac:dyDescent="0.3">
      <c r="E151" s="191"/>
      <c r="F151"/>
      <c r="G151"/>
      <c r="H151"/>
      <c r="I151"/>
      <c r="J151"/>
      <c r="K151"/>
      <c r="L151"/>
    </row>
    <row r="152" spans="5:12" hidden="1" x14ac:dyDescent="0.3">
      <c r="E152" s="191"/>
      <c r="F152"/>
      <c r="G152"/>
      <c r="H152"/>
      <c r="I152"/>
      <c r="J152"/>
      <c r="K152"/>
      <c r="L152"/>
    </row>
    <row r="153" spans="5:12" hidden="1" x14ac:dyDescent="0.3">
      <c r="E153" s="191"/>
      <c r="F153"/>
      <c r="G153"/>
      <c r="H153"/>
      <c r="I153"/>
      <c r="J153"/>
      <c r="K153"/>
      <c r="L153"/>
    </row>
    <row r="154" spans="5:12" hidden="1" x14ac:dyDescent="0.3">
      <c r="E154" s="191"/>
      <c r="F154"/>
      <c r="G154"/>
      <c r="H154"/>
      <c r="I154"/>
      <c r="J154"/>
      <c r="K154"/>
      <c r="L154"/>
    </row>
    <row r="155" spans="5:12" hidden="1" x14ac:dyDescent="0.3">
      <c r="E155" s="191"/>
      <c r="F155"/>
      <c r="G155"/>
      <c r="H155"/>
      <c r="I155"/>
      <c r="J155"/>
      <c r="K155"/>
      <c r="L155"/>
    </row>
    <row r="156" spans="5:12" hidden="1" x14ac:dyDescent="0.3">
      <c r="E156" s="191"/>
      <c r="F156"/>
      <c r="G156"/>
      <c r="H156"/>
      <c r="I156"/>
      <c r="J156"/>
      <c r="K156"/>
      <c r="L156"/>
    </row>
    <row r="157" spans="5:12" hidden="1" x14ac:dyDescent="0.3">
      <c r="E157" s="191"/>
      <c r="F157"/>
      <c r="G157"/>
      <c r="H157"/>
      <c r="I157"/>
      <c r="J157"/>
      <c r="K157"/>
      <c r="L157"/>
    </row>
    <row r="158" spans="5:12" hidden="1" x14ac:dyDescent="0.3">
      <c r="E158" s="191"/>
      <c r="F158"/>
      <c r="G158"/>
      <c r="H158"/>
      <c r="I158"/>
      <c r="J158"/>
      <c r="K158"/>
      <c r="L158"/>
    </row>
    <row r="159" spans="5:12" hidden="1" x14ac:dyDescent="0.3">
      <c r="E159" s="191"/>
      <c r="F159"/>
      <c r="G159"/>
      <c r="H159"/>
      <c r="I159"/>
      <c r="J159"/>
      <c r="K159"/>
      <c r="L159"/>
    </row>
    <row r="160" spans="5:12" hidden="1" x14ac:dyDescent="0.3">
      <c r="E160"/>
      <c r="F160"/>
      <c r="G160"/>
      <c r="H160"/>
      <c r="I160"/>
      <c r="J160"/>
      <c r="K160"/>
      <c r="L160"/>
    </row>
    <row r="161" spans="5:12" hidden="1" x14ac:dyDescent="0.3">
      <c r="E161"/>
      <c r="F161"/>
      <c r="G161"/>
      <c r="H161"/>
      <c r="I161"/>
      <c r="J161"/>
      <c r="K161"/>
      <c r="L161"/>
    </row>
    <row r="162" spans="5:12" hidden="1" x14ac:dyDescent="0.3">
      <c r="E162"/>
      <c r="F162"/>
      <c r="G162"/>
      <c r="H162"/>
      <c r="I162"/>
      <c r="J162"/>
      <c r="K162"/>
      <c r="L162"/>
    </row>
    <row r="163" spans="5:12" hidden="1" x14ac:dyDescent="0.3">
      <c r="E163"/>
      <c r="F163"/>
      <c r="G163"/>
      <c r="H163"/>
      <c r="I163"/>
      <c r="J163"/>
      <c r="K163"/>
      <c r="L163"/>
    </row>
    <row r="164" spans="5:12" hidden="1" x14ac:dyDescent="0.3">
      <c r="E164"/>
      <c r="F164"/>
      <c r="G164"/>
      <c r="H164"/>
      <c r="I164"/>
      <c r="J164"/>
      <c r="K164"/>
      <c r="L164"/>
    </row>
    <row r="165" spans="5:12" hidden="1" x14ac:dyDescent="0.3">
      <c r="E165"/>
      <c r="F165"/>
      <c r="G165"/>
      <c r="H165"/>
      <c r="I165"/>
      <c r="J165"/>
      <c r="K165"/>
      <c r="L165"/>
    </row>
    <row r="166" spans="5:12" hidden="1" x14ac:dyDescent="0.3">
      <c r="E166"/>
      <c r="F166"/>
      <c r="G166"/>
      <c r="H166"/>
      <c r="I166"/>
      <c r="J166"/>
      <c r="K166"/>
      <c r="L166"/>
    </row>
    <row r="167" spans="5:12" hidden="1" x14ac:dyDescent="0.3">
      <c r="E167"/>
      <c r="F167"/>
      <c r="G167"/>
      <c r="H167"/>
      <c r="I167"/>
      <c r="J167"/>
      <c r="K167"/>
      <c r="L167"/>
    </row>
    <row r="168" spans="5:12" hidden="1" x14ac:dyDescent="0.3">
      <c r="E168"/>
      <c r="F168"/>
      <c r="G168"/>
      <c r="H168"/>
      <c r="I168"/>
      <c r="J168"/>
      <c r="K168"/>
      <c r="L168"/>
    </row>
    <row r="169" spans="5:12" hidden="1" x14ac:dyDescent="0.3">
      <c r="E169"/>
      <c r="F169"/>
      <c r="G169"/>
      <c r="H169"/>
      <c r="I169"/>
      <c r="J169"/>
      <c r="K169"/>
      <c r="L169"/>
    </row>
    <row r="170" spans="5:12" hidden="1" x14ac:dyDescent="0.3">
      <c r="E170"/>
      <c r="F170"/>
      <c r="G170"/>
      <c r="H170"/>
      <c r="I170"/>
      <c r="J170"/>
      <c r="K170"/>
      <c r="L170"/>
    </row>
    <row r="171" spans="5:12" hidden="1" x14ac:dyDescent="0.3">
      <c r="E171"/>
      <c r="F171"/>
      <c r="G171"/>
      <c r="H171"/>
      <c r="I171"/>
      <c r="J171"/>
      <c r="K171"/>
      <c r="L171"/>
    </row>
    <row r="172" spans="5:12" hidden="1" x14ac:dyDescent="0.3">
      <c r="E172"/>
      <c r="F172"/>
      <c r="G172"/>
      <c r="H172"/>
      <c r="I172"/>
      <c r="J172"/>
      <c r="K172"/>
      <c r="L172"/>
    </row>
    <row r="173" spans="5:12" hidden="1" x14ac:dyDescent="0.3">
      <c r="E173"/>
      <c r="F173"/>
      <c r="G173"/>
      <c r="H173"/>
      <c r="I173"/>
      <c r="J173"/>
      <c r="K173"/>
      <c r="L173"/>
    </row>
    <row r="174" spans="5:12" hidden="1" x14ac:dyDescent="0.3">
      <c r="E174"/>
      <c r="F174"/>
      <c r="G174"/>
      <c r="H174"/>
      <c r="I174"/>
      <c r="J174"/>
      <c r="K174"/>
      <c r="L174"/>
    </row>
    <row r="175" spans="5:12" hidden="1" x14ac:dyDescent="0.3">
      <c r="E175"/>
      <c r="F175"/>
      <c r="G175"/>
      <c r="H175"/>
      <c r="I175"/>
      <c r="J175"/>
      <c r="K175"/>
      <c r="L175"/>
    </row>
    <row r="176" spans="5:12" hidden="1" x14ac:dyDescent="0.3">
      <c r="E176"/>
      <c r="F176"/>
      <c r="G176"/>
      <c r="H176"/>
      <c r="I176"/>
      <c r="J176"/>
      <c r="K176"/>
      <c r="L176"/>
    </row>
    <row r="177" spans="5:12" hidden="1" x14ac:dyDescent="0.3">
      <c r="E177"/>
      <c r="F177"/>
      <c r="G177"/>
      <c r="H177"/>
      <c r="I177"/>
      <c r="J177"/>
      <c r="K177"/>
      <c r="L177"/>
    </row>
    <row r="178" spans="5:12" hidden="1" x14ac:dyDescent="0.3">
      <c r="E178"/>
      <c r="F178"/>
      <c r="G178"/>
      <c r="H178"/>
      <c r="I178"/>
      <c r="J178"/>
      <c r="K178"/>
      <c r="L178"/>
    </row>
    <row r="179" spans="5:12" hidden="1" x14ac:dyDescent="0.3">
      <c r="E179"/>
      <c r="F179"/>
      <c r="G179"/>
      <c r="H179"/>
      <c r="I179"/>
      <c r="J179"/>
      <c r="K179"/>
      <c r="L179"/>
    </row>
    <row r="180" spans="5:12" hidden="1" x14ac:dyDescent="0.3">
      <c r="E180"/>
      <c r="F180"/>
      <c r="G180"/>
      <c r="H180"/>
      <c r="I180"/>
      <c r="J180"/>
      <c r="K180"/>
      <c r="L180"/>
    </row>
    <row r="181" spans="5:12" hidden="1" x14ac:dyDescent="0.3">
      <c r="E181"/>
      <c r="F181"/>
      <c r="G181"/>
      <c r="H181"/>
      <c r="I181"/>
      <c r="J181"/>
      <c r="K181"/>
      <c r="L181"/>
    </row>
    <row r="182" spans="5:12" hidden="1" x14ac:dyDescent="0.3">
      <c r="E182"/>
      <c r="F182"/>
      <c r="G182"/>
      <c r="H182"/>
      <c r="I182"/>
      <c r="J182"/>
      <c r="K182"/>
      <c r="L182"/>
    </row>
    <row r="183" spans="5:12" hidden="1" x14ac:dyDescent="0.3">
      <c r="E183"/>
      <c r="F183"/>
      <c r="G183"/>
      <c r="H183"/>
      <c r="I183"/>
      <c r="J183"/>
      <c r="K183"/>
      <c r="L183"/>
    </row>
    <row r="184" spans="5:12" hidden="1" x14ac:dyDescent="0.3">
      <c r="E184"/>
      <c r="F184"/>
      <c r="G184"/>
      <c r="H184"/>
      <c r="I184"/>
      <c r="J184"/>
      <c r="K184"/>
      <c r="L184"/>
    </row>
    <row r="185" spans="5:12" hidden="1" x14ac:dyDescent="0.3">
      <c r="E185"/>
      <c r="F185"/>
      <c r="G185"/>
      <c r="H185"/>
      <c r="I185"/>
      <c r="J185"/>
      <c r="K185"/>
      <c r="L185"/>
    </row>
    <row r="186" spans="5:12" hidden="1" x14ac:dyDescent="0.3">
      <c r="E186"/>
      <c r="F186"/>
      <c r="G186"/>
      <c r="H186"/>
      <c r="I186"/>
      <c r="J186"/>
      <c r="K186"/>
      <c r="L186"/>
    </row>
    <row r="187" spans="5:12" hidden="1" x14ac:dyDescent="0.3">
      <c r="E187"/>
      <c r="F187"/>
      <c r="G187"/>
      <c r="H187"/>
      <c r="I187"/>
      <c r="J187"/>
      <c r="K187"/>
      <c r="L187"/>
    </row>
    <row r="188" spans="5:12" hidden="1" x14ac:dyDescent="0.3">
      <c r="E188"/>
      <c r="F188"/>
      <c r="G188"/>
      <c r="H188"/>
      <c r="I188"/>
      <c r="J188"/>
      <c r="K188"/>
      <c r="L188"/>
    </row>
    <row r="189" spans="5:12" hidden="1" x14ac:dyDescent="0.3">
      <c r="E189"/>
      <c r="F189"/>
      <c r="G189"/>
      <c r="H189"/>
      <c r="I189"/>
      <c r="J189"/>
      <c r="K189"/>
      <c r="L189"/>
    </row>
    <row r="190" spans="5:12" hidden="1" x14ac:dyDescent="0.3">
      <c r="E190"/>
      <c r="F190"/>
      <c r="G190"/>
      <c r="H190"/>
      <c r="I190"/>
      <c r="J190"/>
      <c r="K190"/>
      <c r="L190"/>
    </row>
    <row r="191" spans="5:12" hidden="1" x14ac:dyDescent="0.3">
      <c r="E191"/>
      <c r="F191"/>
      <c r="G191"/>
      <c r="H191"/>
      <c r="I191"/>
      <c r="J191"/>
      <c r="K191"/>
      <c r="L191"/>
    </row>
    <row r="192" spans="5:12" hidden="1" x14ac:dyDescent="0.3">
      <c r="E192"/>
      <c r="F192"/>
      <c r="G192"/>
      <c r="H192"/>
      <c r="I192"/>
      <c r="J192"/>
      <c r="K192"/>
      <c r="L192"/>
    </row>
    <row r="193" spans="5:12" hidden="1" x14ac:dyDescent="0.3">
      <c r="E193"/>
      <c r="F193"/>
      <c r="G193"/>
      <c r="H193"/>
      <c r="I193"/>
      <c r="J193"/>
      <c r="K193"/>
      <c r="L193"/>
    </row>
    <row r="194" spans="5:12" hidden="1" x14ac:dyDescent="0.3">
      <c r="E194"/>
      <c r="F194"/>
      <c r="G194"/>
      <c r="H194"/>
      <c r="I194"/>
      <c r="J194"/>
      <c r="K194"/>
      <c r="L194"/>
    </row>
    <row r="195" spans="5:12" hidden="1" x14ac:dyDescent="0.3">
      <c r="E195"/>
      <c r="F195"/>
      <c r="G195"/>
      <c r="H195"/>
      <c r="I195"/>
      <c r="J195"/>
      <c r="K195"/>
      <c r="L195"/>
    </row>
    <row r="196" spans="5:12" hidden="1" x14ac:dyDescent="0.3">
      <c r="E196"/>
      <c r="F196"/>
      <c r="G196"/>
      <c r="H196"/>
      <c r="I196"/>
      <c r="J196"/>
      <c r="K196"/>
      <c r="L196"/>
    </row>
    <row r="197" spans="5:12" hidden="1" x14ac:dyDescent="0.3">
      <c r="E197"/>
      <c r="F197"/>
      <c r="G197"/>
      <c r="H197"/>
      <c r="I197"/>
      <c r="J197"/>
      <c r="K197"/>
      <c r="L197"/>
    </row>
    <row r="198" spans="5:12" hidden="1" x14ac:dyDescent="0.3">
      <c r="E198"/>
      <c r="F198"/>
      <c r="G198"/>
      <c r="H198"/>
      <c r="I198"/>
      <c r="J198"/>
      <c r="K198"/>
      <c r="L198"/>
    </row>
    <row r="199" spans="5:12" hidden="1" x14ac:dyDescent="0.3">
      <c r="E199"/>
      <c r="F199"/>
      <c r="G199"/>
      <c r="H199"/>
      <c r="I199"/>
      <c r="J199"/>
      <c r="K199"/>
      <c r="L199"/>
    </row>
    <row r="200" spans="5:12" hidden="1" x14ac:dyDescent="0.3">
      <c r="E200"/>
      <c r="F200"/>
      <c r="G200"/>
      <c r="H200"/>
      <c r="I200"/>
      <c r="J200"/>
      <c r="K200"/>
      <c r="L200"/>
    </row>
    <row r="201" spans="5:12" hidden="1" x14ac:dyDescent="0.3">
      <c r="E201"/>
      <c r="F201"/>
      <c r="G201"/>
      <c r="H201"/>
      <c r="I201"/>
      <c r="J201"/>
      <c r="K201"/>
      <c r="L201"/>
    </row>
    <row r="202" spans="5:12" hidden="1" x14ac:dyDescent="0.3">
      <c r="E202"/>
      <c r="F202"/>
      <c r="G202"/>
      <c r="H202"/>
      <c r="I202"/>
      <c r="J202"/>
      <c r="K202"/>
      <c r="L202"/>
    </row>
    <row r="203" spans="5:12" hidden="1" x14ac:dyDescent="0.3">
      <c r="E203"/>
      <c r="F203"/>
      <c r="G203"/>
      <c r="H203"/>
      <c r="I203"/>
      <c r="J203"/>
      <c r="K203"/>
      <c r="L203"/>
    </row>
    <row r="204" spans="5:12" hidden="1" x14ac:dyDescent="0.3">
      <c r="E204"/>
      <c r="F204"/>
      <c r="G204"/>
      <c r="H204"/>
      <c r="I204"/>
      <c r="J204"/>
      <c r="K204"/>
      <c r="L204"/>
    </row>
    <row r="205" spans="5:12" hidden="1" x14ac:dyDescent="0.3">
      <c r="E205"/>
      <c r="F205"/>
      <c r="G205"/>
      <c r="H205"/>
      <c r="I205"/>
      <c r="J205"/>
      <c r="K205"/>
      <c r="L205"/>
    </row>
    <row r="206" spans="5:12" hidden="1" x14ac:dyDescent="0.3">
      <c r="E206"/>
      <c r="F206"/>
      <c r="G206"/>
      <c r="H206"/>
      <c r="I206"/>
      <c r="J206"/>
      <c r="K206"/>
      <c r="L206"/>
    </row>
    <row r="207" spans="5:12" hidden="1" x14ac:dyDescent="0.3">
      <c r="E207"/>
      <c r="F207"/>
      <c r="G207"/>
      <c r="H207"/>
      <c r="I207"/>
      <c r="J207"/>
      <c r="K207"/>
      <c r="L207"/>
    </row>
    <row r="208" spans="5:12" hidden="1" x14ac:dyDescent="0.3">
      <c r="E208"/>
      <c r="F208"/>
      <c r="G208"/>
      <c r="H208"/>
      <c r="I208"/>
      <c r="J208"/>
      <c r="K208"/>
      <c r="L208"/>
    </row>
    <row r="209" spans="5:12" hidden="1" x14ac:dyDescent="0.3">
      <c r="E209"/>
      <c r="F209"/>
      <c r="G209"/>
      <c r="H209"/>
      <c r="I209"/>
      <c r="J209"/>
      <c r="K209"/>
      <c r="L209"/>
    </row>
    <row r="210" spans="5:12" hidden="1" x14ac:dyDescent="0.3">
      <c r="E210"/>
      <c r="F210"/>
      <c r="G210"/>
      <c r="H210"/>
      <c r="I210"/>
      <c r="J210"/>
      <c r="K210"/>
      <c r="L210"/>
    </row>
    <row r="211" spans="5:12" hidden="1" x14ac:dyDescent="0.3">
      <c r="E211"/>
      <c r="F211"/>
      <c r="G211"/>
      <c r="H211"/>
      <c r="I211"/>
      <c r="J211"/>
      <c r="K211"/>
      <c r="L211"/>
    </row>
    <row r="212" spans="5:12" hidden="1" x14ac:dyDescent="0.3">
      <c r="E212"/>
      <c r="F212"/>
      <c r="G212"/>
      <c r="H212"/>
      <c r="I212"/>
      <c r="J212"/>
      <c r="K212"/>
      <c r="L212"/>
    </row>
    <row r="213" spans="5:12" hidden="1" x14ac:dyDescent="0.3">
      <c r="E213"/>
      <c r="F213"/>
      <c r="G213"/>
      <c r="H213"/>
      <c r="I213"/>
      <c r="J213"/>
      <c r="K213"/>
      <c r="L213"/>
    </row>
    <row r="214" spans="5:12" hidden="1" x14ac:dyDescent="0.3">
      <c r="E214"/>
      <c r="F214"/>
      <c r="G214"/>
      <c r="H214"/>
      <c r="I214"/>
      <c r="J214"/>
      <c r="K214"/>
      <c r="L214"/>
    </row>
    <row r="215" spans="5:12" hidden="1" x14ac:dyDescent="0.3">
      <c r="E215"/>
      <c r="F215"/>
      <c r="G215"/>
      <c r="H215"/>
      <c r="I215"/>
      <c r="J215"/>
      <c r="K215"/>
      <c r="L215"/>
    </row>
    <row r="216" spans="5:12" hidden="1" x14ac:dyDescent="0.3">
      <c r="E216"/>
      <c r="F216"/>
      <c r="G216"/>
      <c r="H216"/>
      <c r="I216"/>
      <c r="J216"/>
      <c r="K216"/>
      <c r="L216"/>
    </row>
    <row r="217" spans="5:12" hidden="1" x14ac:dyDescent="0.3">
      <c r="E217"/>
      <c r="F217"/>
      <c r="G217"/>
      <c r="H217"/>
      <c r="I217"/>
      <c r="J217"/>
      <c r="K217"/>
      <c r="L217"/>
    </row>
    <row r="218" spans="5:12" hidden="1" x14ac:dyDescent="0.3">
      <c r="E218"/>
      <c r="F218"/>
      <c r="G218"/>
      <c r="H218"/>
      <c r="I218"/>
      <c r="J218"/>
      <c r="K218"/>
      <c r="L218"/>
    </row>
    <row r="219" spans="5:12" hidden="1" x14ac:dyDescent="0.3">
      <c r="E219"/>
      <c r="F219"/>
      <c r="G219"/>
      <c r="H219"/>
      <c r="I219"/>
      <c r="J219"/>
      <c r="K219"/>
      <c r="L219"/>
    </row>
    <row r="220" spans="5:12" hidden="1" x14ac:dyDescent="0.3">
      <c r="E220"/>
      <c r="F220"/>
      <c r="G220"/>
      <c r="H220"/>
      <c r="I220"/>
      <c r="J220"/>
      <c r="K220"/>
      <c r="L220"/>
    </row>
    <row r="221" spans="5:12" hidden="1" x14ac:dyDescent="0.3">
      <c r="E221"/>
      <c r="F221"/>
      <c r="G221"/>
      <c r="H221"/>
      <c r="I221"/>
      <c r="J221"/>
      <c r="K221"/>
      <c r="L221"/>
    </row>
    <row r="222" spans="5:12" hidden="1" x14ac:dyDescent="0.3">
      <c r="E222"/>
      <c r="F222"/>
      <c r="G222"/>
      <c r="H222"/>
      <c r="I222"/>
      <c r="J222"/>
      <c r="K222"/>
      <c r="L222"/>
    </row>
    <row r="223" spans="5:12" hidden="1" x14ac:dyDescent="0.3">
      <c r="E223"/>
      <c r="F223"/>
      <c r="G223"/>
      <c r="H223"/>
      <c r="I223"/>
      <c r="J223"/>
      <c r="K223"/>
      <c r="L223"/>
    </row>
    <row r="224" spans="5:12" hidden="1" x14ac:dyDescent="0.3">
      <c r="E224"/>
      <c r="F224"/>
      <c r="G224"/>
      <c r="H224"/>
      <c r="I224"/>
      <c r="J224"/>
      <c r="K224"/>
      <c r="L224"/>
    </row>
    <row r="225" spans="5:12" hidden="1" x14ac:dyDescent="0.3">
      <c r="E225"/>
      <c r="F225"/>
      <c r="G225"/>
      <c r="H225"/>
      <c r="I225"/>
      <c r="J225"/>
      <c r="K225"/>
      <c r="L225"/>
    </row>
    <row r="226" spans="5:12" hidden="1" x14ac:dyDescent="0.3">
      <c r="E226"/>
      <c r="F226"/>
      <c r="G226"/>
      <c r="H226"/>
      <c r="I226"/>
      <c r="J226"/>
      <c r="K226"/>
      <c r="L226"/>
    </row>
  </sheetData>
  <mergeCells count="59">
    <mergeCell ref="F139:G139"/>
    <mergeCell ref="F135:G135"/>
    <mergeCell ref="F136:G136"/>
    <mergeCell ref="F137:G137"/>
    <mergeCell ref="F138:G138"/>
    <mergeCell ref="F35:G35"/>
    <mergeCell ref="E36:G36"/>
    <mergeCell ref="F129:G129"/>
    <mergeCell ref="F130:G130"/>
    <mergeCell ref="F131:G131"/>
    <mergeCell ref="F132:G132"/>
    <mergeCell ref="F133:G133"/>
    <mergeCell ref="F134:G134"/>
    <mergeCell ref="A1:L1"/>
    <mergeCell ref="F112:G112"/>
    <mergeCell ref="E113:G113"/>
    <mergeCell ref="F126:G126"/>
    <mergeCell ref="F127:G127"/>
    <mergeCell ref="F128:G128"/>
    <mergeCell ref="F29:G29"/>
    <mergeCell ref="E30:G30"/>
    <mergeCell ref="E31:G31"/>
    <mergeCell ref="F11:G11"/>
    <mergeCell ref="E12:G12"/>
    <mergeCell ref="F6:G6"/>
    <mergeCell ref="E7:G7"/>
    <mergeCell ref="E83:G83"/>
    <mergeCell ref="E62:G62"/>
    <mergeCell ref="E52:G52"/>
    <mergeCell ref="E44:G44"/>
    <mergeCell ref="F42:G42"/>
    <mergeCell ref="E43:G43"/>
    <mergeCell ref="F21:G21"/>
    <mergeCell ref="E22:G22"/>
    <mergeCell ref="F16:G16"/>
    <mergeCell ref="E17:G17"/>
    <mergeCell ref="F67:G67"/>
    <mergeCell ref="E68:G68"/>
    <mergeCell ref="E60:G60"/>
    <mergeCell ref="E50:G50"/>
    <mergeCell ref="F48:G48"/>
    <mergeCell ref="E49:G49"/>
    <mergeCell ref="F107:G107"/>
    <mergeCell ref="E108:G108"/>
    <mergeCell ref="F97:G97"/>
    <mergeCell ref="E98:G98"/>
    <mergeCell ref="E81:G81"/>
    <mergeCell ref="F79:G79"/>
    <mergeCell ref="E80:G80"/>
    <mergeCell ref="F58:G58"/>
    <mergeCell ref="E59:G59"/>
    <mergeCell ref="F92:G92"/>
    <mergeCell ref="E93:G93"/>
    <mergeCell ref="F102:G102"/>
    <mergeCell ref="E103:G103"/>
    <mergeCell ref="E75:G75"/>
    <mergeCell ref="F73:G73"/>
    <mergeCell ref="E74:G74"/>
    <mergeCell ref="E69:G69"/>
  </mergeCells>
  <conditionalFormatting sqref="K107">
    <cfRule type="expression" dxfId="27" priority="47" stopIfTrue="1">
      <formula>AND(ISNUMBER(K107),K107&lt;&gt;0)</formula>
    </cfRule>
  </conditionalFormatting>
  <conditionalFormatting sqref="K102">
    <cfRule type="expression" dxfId="26" priority="48" stopIfTrue="1">
      <formula>AND(ISNUMBER(K102),K102&lt;&gt;0)</formula>
    </cfRule>
  </conditionalFormatting>
  <conditionalFormatting sqref="K97">
    <cfRule type="expression" dxfId="25" priority="49" stopIfTrue="1">
      <formula>AND(ISNUMBER(K97),K97&lt;&gt;0)</formula>
    </cfRule>
  </conditionalFormatting>
  <conditionalFormatting sqref="K92">
    <cfRule type="expression" dxfId="24" priority="50" stopIfTrue="1">
      <formula>AND(ISNUMBER(K92),K92&lt;&gt;0)</formula>
    </cfRule>
  </conditionalFormatting>
  <conditionalFormatting sqref="K82">
    <cfRule type="expression" dxfId="23" priority="51" stopIfTrue="1">
      <formula>AND(ISNUMBER(K82),K82&lt;&gt;0)</formula>
    </cfRule>
  </conditionalFormatting>
  <conditionalFormatting sqref="K61">
    <cfRule type="expression" dxfId="22" priority="52" stopIfTrue="1">
      <formula>AND(ISNUMBER(K61),K61&lt;&gt;0)</formula>
    </cfRule>
  </conditionalFormatting>
  <conditionalFormatting sqref="K51">
    <cfRule type="expression" dxfId="21" priority="53" stopIfTrue="1">
      <formula>AND(ISNUMBER(K51),K51&lt;&gt;0)</formula>
    </cfRule>
  </conditionalFormatting>
  <conditionalFormatting sqref="K35">
    <cfRule type="expression" dxfId="20" priority="54" stopIfTrue="1">
      <formula>AND(ISNUMBER(K35),K35&lt;&gt;0)</formula>
    </cfRule>
  </conditionalFormatting>
  <conditionalFormatting sqref="K30">
    <cfRule type="expression" dxfId="19" priority="55" stopIfTrue="1">
      <formula>AND(ISNUMBER(K30),K30&lt;&gt;0)</formula>
    </cfRule>
  </conditionalFormatting>
  <conditionalFormatting sqref="K21">
    <cfRule type="expression" dxfId="18" priority="56" stopIfTrue="1">
      <formula>AND(ISNUMBER(K21),K21&lt;&gt;0)</formula>
    </cfRule>
  </conditionalFormatting>
  <conditionalFormatting sqref="K16">
    <cfRule type="expression" dxfId="17" priority="57" stopIfTrue="1">
      <formula>AND(ISNUMBER(K16),K16&lt;&gt;0)</formula>
    </cfRule>
  </conditionalFormatting>
  <conditionalFormatting sqref="K11">
    <cfRule type="expression" dxfId="16" priority="58" stopIfTrue="1">
      <formula>AND(ISNUMBER(K11),K11&lt;&gt;0)</formula>
    </cfRule>
  </conditionalFormatting>
  <conditionalFormatting sqref="K6">
    <cfRule type="expression" dxfId="15" priority="59" stopIfTrue="1">
      <formula>AND(ISNUMBER(K6),K6&lt;&gt;0)</formula>
    </cfRule>
  </conditionalFormatting>
  <dataValidations count="7">
    <dataValidation type="list" allowBlank="1" showInputMessage="1" showErrorMessage="1" sqref="J83 J108 J98 J62" xr:uid="{B8B005BF-7295-4981-9972-32A68D2FF8AD}">
      <formula1>"Through Rate,Material Rate,Labour Rate"</formula1>
    </dataValidation>
    <dataValidation type="list" allowBlank="1" showInputMessage="1" showErrorMessage="1" sqref="J52 J93 J36" xr:uid="{D398B03E-0119-4B21-89FC-641AAC916349}">
      <formula1>"Through Rate Amnd,Through Rate,Material Rate Amnd,Material Rate,Labour Rate Amnd,Labour Rate"</formula1>
    </dataValidation>
    <dataValidation type="list" allowBlank="1" showInputMessage="1" showErrorMessage="1" sqref="J31 J12" xr:uid="{9B1689D8-948B-4382-91B2-623F6E66C842}">
      <formula1>"Rate"</formula1>
    </dataValidation>
    <dataValidation type="list" allowBlank="1" showInputMessage="1" showErrorMessage="1" sqref="J103" xr:uid="{74E3F92C-2A77-4BFE-9003-4F62F4CE7F4E}">
      <formula1>"Through Rate,Material Rate"</formula1>
    </dataValidation>
    <dataValidation type="list" allowBlank="1" showInputMessage="1" showErrorMessage="1" sqref="J22" xr:uid="{7E49C89B-68EA-422D-874E-2E675C9AC788}">
      <formula1>"Beyond 5km up to 10km per KM,1km,2km,3km,4km,5km,Beyond 10km up to 20km per KM,Beyond 20km per adl. KM"</formula1>
    </dataValidation>
    <dataValidation type="list" allowBlank="1" showInputMessage="1" showErrorMessage="1" sqref="J17" xr:uid="{6BA4B2A0-1AC9-4B49-886F-DF794FC7D704}">
      <formula1>"5km,1km,2km,3km,4km,Beyond 5km up to 10km per KM,Beyond 10km up to 20km per KM,Beyond 20km per adl. KM"</formula1>
    </dataValidation>
    <dataValidation type="list" allowBlank="1" showInputMessage="1" showErrorMessage="1" sqref="J7" xr:uid="{ABB6328E-411E-4D76-8175-FE1E9847AA79}">
      <formula1>"Through Rate,Labour Rate,Machinery Rate"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03767-AEA3-4BCE-B792-3A0E70A3156A}">
  <sheetPr>
    <tabColor rgb="FFFFFF00"/>
  </sheetPr>
  <dimension ref="A1:G17"/>
  <sheetViews>
    <sheetView workbookViewId="0">
      <selection activeCell="I3" sqref="I3"/>
    </sheetView>
  </sheetViews>
  <sheetFormatPr defaultRowHeight="14.4" x14ac:dyDescent="0.3"/>
  <cols>
    <col min="1" max="1" width="7.6640625" bestFit="1" customWidth="1"/>
    <col min="2" max="2" width="12.21875" bestFit="1" customWidth="1"/>
    <col min="3" max="3" width="70.77734375" customWidth="1"/>
    <col min="4" max="4" width="10" bestFit="1" customWidth="1"/>
    <col min="5" max="5" width="10.109375" bestFit="1" customWidth="1"/>
    <col min="6" max="6" width="9.21875" bestFit="1" customWidth="1"/>
    <col min="7" max="7" width="12.33203125" bestFit="1" customWidth="1"/>
  </cols>
  <sheetData>
    <row r="1" spans="1:7" ht="17.399999999999999" x14ac:dyDescent="0.35">
      <c r="A1" s="169" t="s">
        <v>106</v>
      </c>
      <c r="B1" s="169"/>
      <c r="C1" s="169"/>
      <c r="D1" s="169"/>
      <c r="E1" s="169"/>
      <c r="F1" s="169"/>
      <c r="G1" s="169"/>
    </row>
    <row r="2" spans="1:7" x14ac:dyDescent="0.3">
      <c r="A2" s="170" t="s">
        <v>107</v>
      </c>
      <c r="B2" s="171" t="s">
        <v>108</v>
      </c>
      <c r="C2" s="171" t="s">
        <v>79</v>
      </c>
      <c r="D2" s="171" t="s">
        <v>109</v>
      </c>
      <c r="E2" s="171" t="s">
        <v>83</v>
      </c>
      <c r="F2" s="171" t="s">
        <v>73</v>
      </c>
      <c r="G2" s="172" t="s">
        <v>85</v>
      </c>
    </row>
    <row r="3" spans="1:7" ht="100.8" x14ac:dyDescent="0.3">
      <c r="A3" s="178">
        <f>Sample!A3</f>
        <v>1</v>
      </c>
      <c r="B3" s="179" t="s">
        <v>22</v>
      </c>
      <c r="C3" s="179" t="s">
        <v>110</v>
      </c>
      <c r="D3" s="182">
        <f>Sample!H7</f>
        <v>62.024999999999999</v>
      </c>
      <c r="E3" s="51" t="s">
        <v>28</v>
      </c>
      <c r="F3" s="185">
        <f>Sample!K7</f>
        <v>83</v>
      </c>
      <c r="G3" s="187">
        <f>D3*F3</f>
        <v>5148.0749999999998</v>
      </c>
    </row>
    <row r="4" spans="1:7" ht="28.8" x14ac:dyDescent="0.3">
      <c r="A4" s="178">
        <f>Sample!A9</f>
        <v>2</v>
      </c>
      <c r="B4" s="179" t="s">
        <v>39</v>
      </c>
      <c r="C4" s="179" t="s">
        <v>111</v>
      </c>
      <c r="D4" s="182">
        <f>Sample!H12</f>
        <v>4.2480000000000002</v>
      </c>
      <c r="E4" s="51" t="s">
        <v>28</v>
      </c>
      <c r="F4" s="185">
        <f>Sample!K12</f>
        <v>18</v>
      </c>
      <c r="G4" s="187">
        <f>D4*F4</f>
        <v>76.463999999999999</v>
      </c>
    </row>
    <row r="5" spans="1:7" ht="57.6" x14ac:dyDescent="0.3">
      <c r="A5" s="178">
        <f>Sample!A14</f>
        <v>3</v>
      </c>
      <c r="B5" s="179" t="s">
        <v>40</v>
      </c>
      <c r="C5" s="179" t="s">
        <v>112</v>
      </c>
      <c r="D5" s="182">
        <f>Sample!H17</f>
        <v>4.2480000000000002</v>
      </c>
      <c r="E5" s="51" t="s">
        <v>28</v>
      </c>
      <c r="F5" s="185">
        <f>Sample!K17</f>
        <v>83</v>
      </c>
      <c r="G5" s="187">
        <f>D5*F5</f>
        <v>352.584</v>
      </c>
    </row>
    <row r="6" spans="1:7" ht="57.6" x14ac:dyDescent="0.3">
      <c r="A6" s="178">
        <f>Sample!A19</f>
        <v>4</v>
      </c>
      <c r="B6" s="179" t="s">
        <v>40</v>
      </c>
      <c r="C6" s="179" t="s">
        <v>113</v>
      </c>
      <c r="D6" s="182">
        <f>Sample!H22</f>
        <v>12.743</v>
      </c>
      <c r="E6" s="51" t="s">
        <v>28</v>
      </c>
      <c r="F6" s="185">
        <f>Sample!K22</f>
        <v>6</v>
      </c>
      <c r="G6" s="187">
        <f>D6*F6</f>
        <v>76.457999999999998</v>
      </c>
    </row>
    <row r="7" spans="1:7" ht="28.8" x14ac:dyDescent="0.3">
      <c r="A7" s="178">
        <f>Sample!A24</f>
        <v>5</v>
      </c>
      <c r="B7" s="179" t="s">
        <v>150</v>
      </c>
      <c r="C7" s="179" t="s">
        <v>155</v>
      </c>
      <c r="D7" s="182">
        <f>Sample!H31</f>
        <v>3.3125</v>
      </c>
      <c r="E7" s="51" t="s">
        <v>153</v>
      </c>
      <c r="F7" s="185">
        <f>Sample!K31</f>
        <v>289</v>
      </c>
      <c r="G7" s="187">
        <f>D7*F7</f>
        <v>957.3125</v>
      </c>
    </row>
    <row r="8" spans="1:7" ht="158.4" x14ac:dyDescent="0.3">
      <c r="A8" s="178">
        <f>Sample!A33</f>
        <v>6</v>
      </c>
      <c r="B8" s="179" t="s">
        <v>145</v>
      </c>
      <c r="C8" s="179" t="s">
        <v>149</v>
      </c>
      <c r="D8" s="182">
        <f>Sample!H36</f>
        <v>40</v>
      </c>
      <c r="E8" s="51" t="s">
        <v>64</v>
      </c>
      <c r="F8" s="185">
        <f>Sample!K36</f>
        <v>68</v>
      </c>
      <c r="G8" s="187">
        <f>D8*F8</f>
        <v>2720</v>
      </c>
    </row>
    <row r="9" spans="1:7" ht="172.8" x14ac:dyDescent="0.3">
      <c r="A9" s="178">
        <f>Sample!A38</f>
        <v>7</v>
      </c>
      <c r="B9" s="179" t="s">
        <v>0</v>
      </c>
      <c r="C9" s="179" t="s">
        <v>114</v>
      </c>
      <c r="D9" s="182">
        <f>Sample!H52</f>
        <v>143.29400000000001</v>
      </c>
      <c r="E9" s="51" t="s">
        <v>64</v>
      </c>
      <c r="F9" s="185">
        <f>Sample!K52</f>
        <v>66</v>
      </c>
      <c r="G9" s="187">
        <f>D9*F9</f>
        <v>9457.4040000000005</v>
      </c>
    </row>
    <row r="10" spans="1:7" ht="57.6" x14ac:dyDescent="0.3">
      <c r="A10" s="178">
        <f>Sample!A54</f>
        <v>8</v>
      </c>
      <c r="B10" s="179">
        <v>13.31</v>
      </c>
      <c r="C10" s="179" t="s">
        <v>115</v>
      </c>
      <c r="D10" s="182">
        <f>Sample!H62</f>
        <v>50.997999999999998</v>
      </c>
      <c r="E10" s="51" t="s">
        <v>64</v>
      </c>
      <c r="F10" s="185">
        <f>Sample!K62</f>
        <v>66</v>
      </c>
      <c r="G10" s="187">
        <f>D10*F10</f>
        <v>3365.8679999999999</v>
      </c>
    </row>
    <row r="11" spans="1:7" ht="100.8" x14ac:dyDescent="0.3">
      <c r="A11" s="178">
        <f>Sample!A64</f>
        <v>9</v>
      </c>
      <c r="B11" s="179" t="s">
        <v>16</v>
      </c>
      <c r="C11" s="179" t="s">
        <v>116</v>
      </c>
      <c r="D11" s="182">
        <f>Sample!H83</f>
        <v>2167.8330000000001</v>
      </c>
      <c r="E11" s="51" t="s">
        <v>64</v>
      </c>
      <c r="F11" s="185">
        <f>Sample!K83</f>
        <v>105</v>
      </c>
      <c r="G11" s="187">
        <f>D11*F11</f>
        <v>227622.465</v>
      </c>
    </row>
    <row r="12" spans="1:7" ht="57.6" x14ac:dyDescent="0.3">
      <c r="A12" s="178">
        <f>Sample!A85</f>
        <v>10</v>
      </c>
      <c r="B12" s="179" t="s">
        <v>29</v>
      </c>
      <c r="C12" s="179" t="s">
        <v>117</v>
      </c>
      <c r="D12" s="182">
        <f>Sample!H93</f>
        <v>6.5780000000000003</v>
      </c>
      <c r="E12" s="51" t="s">
        <v>28</v>
      </c>
      <c r="F12" s="185">
        <f>Sample!K93</f>
        <v>4488</v>
      </c>
      <c r="G12" s="187">
        <f>D12*F12</f>
        <v>29522.064000000002</v>
      </c>
    </row>
    <row r="13" spans="1:7" ht="100.8" x14ac:dyDescent="0.3">
      <c r="A13" s="178">
        <f>Sample!A95</f>
        <v>11</v>
      </c>
      <c r="B13" s="179" t="s">
        <v>31</v>
      </c>
      <c r="C13" s="179" t="s">
        <v>118</v>
      </c>
      <c r="D13" s="182">
        <f>Sample!H98</f>
        <v>1</v>
      </c>
      <c r="E13" s="51" t="s">
        <v>44</v>
      </c>
      <c r="F13" s="185">
        <f>Sample!K98</f>
        <v>147</v>
      </c>
      <c r="G13" s="187">
        <f>D13*F13</f>
        <v>147</v>
      </c>
    </row>
    <row r="14" spans="1:7" ht="86.4" x14ac:dyDescent="0.3">
      <c r="A14" s="178">
        <f>Sample!A100</f>
        <v>12</v>
      </c>
      <c r="B14" s="179">
        <v>22.181000000000001</v>
      </c>
      <c r="C14" s="179" t="s">
        <v>119</v>
      </c>
      <c r="D14" s="182">
        <f>Sample!H103</f>
        <v>500</v>
      </c>
      <c r="E14" s="51" t="s">
        <v>57</v>
      </c>
      <c r="F14" s="185">
        <f>Sample!K103</f>
        <v>7</v>
      </c>
      <c r="G14" s="187">
        <f>D14*F14</f>
        <v>3500</v>
      </c>
    </row>
    <row r="15" spans="1:7" ht="86.4" x14ac:dyDescent="0.3">
      <c r="A15" s="178">
        <f>Sample!A105</f>
        <v>13</v>
      </c>
      <c r="B15" s="179" t="s">
        <v>38</v>
      </c>
      <c r="C15" s="179" t="s">
        <v>120</v>
      </c>
      <c r="D15" s="182">
        <f>Sample!H108</f>
        <v>40</v>
      </c>
      <c r="E15" s="51" t="s">
        <v>47</v>
      </c>
      <c r="F15" s="185">
        <f>Sample!K108</f>
        <v>322</v>
      </c>
      <c r="G15" s="187">
        <f>D15*F15</f>
        <v>12880</v>
      </c>
    </row>
    <row r="16" spans="1:7" x14ac:dyDescent="0.3">
      <c r="A16" s="180">
        <f>Sample!A110</f>
        <v>14</v>
      </c>
      <c r="B16" s="181" t="s">
        <v>94</v>
      </c>
      <c r="C16" s="181" t="s">
        <v>121</v>
      </c>
      <c r="D16" s="183">
        <f>Sample!H113</f>
        <v>10</v>
      </c>
      <c r="E16" s="184"/>
      <c r="F16" s="186">
        <f>Sample!K113</f>
        <v>5</v>
      </c>
      <c r="G16" s="188">
        <f>D16*F16</f>
        <v>50</v>
      </c>
    </row>
    <row r="17" spans="1:7" x14ac:dyDescent="0.3">
      <c r="A17" s="175" t="s">
        <v>87</v>
      </c>
      <c r="B17" s="176"/>
      <c r="C17" s="177"/>
      <c r="D17" s="173">
        <f>SUBTOTAL(109,SummaryTable_20260610_172630[Qty])</f>
        <v>3046.2795000000001</v>
      </c>
      <c r="E17" s="173"/>
      <c r="F17" s="173"/>
      <c r="G17" s="174">
        <f>SUBTOTAL(109,SummaryTable_20260610_172630[Amount])</f>
        <v>295875.69449999998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1BD1-6BF7-4530-A809-8CBB28BCB830}">
  <sheetPr>
    <tabColor rgb="FFFFA500"/>
  </sheetPr>
  <dimension ref="A3:D14"/>
  <sheetViews>
    <sheetView workbookViewId="0">
      <selection activeCell="F5" sqref="F5"/>
    </sheetView>
  </sheetViews>
  <sheetFormatPr defaultRowHeight="14.4" x14ac:dyDescent="0.3"/>
  <cols>
    <col min="1" max="3" width="10.77734375" customWidth="1"/>
    <col min="4" max="4" width="9.33203125" bestFit="1" customWidth="1"/>
  </cols>
  <sheetData>
    <row r="3" spans="1:4" ht="15" thickBot="1" x14ac:dyDescent="0.35"/>
    <row r="4" spans="1:4" ht="29.4" thickTop="1" x14ac:dyDescent="0.3">
      <c r="A4" s="162" t="s">
        <v>98</v>
      </c>
      <c r="B4" s="163"/>
      <c r="C4" s="163"/>
      <c r="D4" s="166" t="s">
        <v>99</v>
      </c>
    </row>
    <row r="5" spans="1:4" ht="15.6" x14ac:dyDescent="0.3">
      <c r="A5" s="161" t="s">
        <v>100</v>
      </c>
      <c r="B5" s="159"/>
      <c r="C5" s="159"/>
      <c r="D5" s="167">
        <f>SUMIF(Sample!E2:E113,"Total (Weight of φ12mm Rebar)",Sample!H2:H113)</f>
        <v>65.024000000000001</v>
      </c>
    </row>
    <row r="6" spans="1:4" ht="15.6" x14ac:dyDescent="0.3">
      <c r="A6" s="161" t="s">
        <v>101</v>
      </c>
      <c r="B6" s="159"/>
      <c r="C6" s="159"/>
      <c r="D6" s="167">
        <f>SUMIF(Sample!E2:E113,"Total (Weight of φ8mm Rebar)",Sample!H2:H113)</f>
        <v>78.269629629629634</v>
      </c>
    </row>
    <row r="7" spans="1:4" ht="15.6" x14ac:dyDescent="0.3">
      <c r="A7" s="161" t="s">
        <v>102</v>
      </c>
      <c r="B7" s="159"/>
      <c r="C7" s="159"/>
      <c r="D7" s="167">
        <f>SUMIF(Sample!E2:E113,"Total (Weight for 32.4 Kg per Sqm)",Sample!H2:H113)</f>
        <v>50.997599999999998</v>
      </c>
    </row>
    <row r="8" spans="1:4" ht="15.6" x14ac:dyDescent="0.3">
      <c r="A8" s="161" t="s">
        <v>103</v>
      </c>
      <c r="B8" s="159"/>
      <c r="C8" s="159"/>
      <c r="D8" s="167">
        <f>SUMIF(Sample!E2:E113,"Total (Weight for 18.361 Kg per Meter)",Sample!H2:H113)</f>
        <v>783.50059199999998</v>
      </c>
    </row>
    <row r="9" spans="1:4" ht="15.6" x14ac:dyDescent="0.3">
      <c r="A9" s="161" t="s">
        <v>104</v>
      </c>
      <c r="B9" s="159"/>
      <c r="C9" s="159"/>
      <c r="D9" s="167">
        <f>SUMIF(Sample!E2:E113,"Total (Weight for 6.8 Kg per Meter)",Sample!H2:H113)</f>
        <v>671.53399999999999</v>
      </c>
    </row>
    <row r="10" spans="1:4" ht="15.6" x14ac:dyDescent="0.3">
      <c r="A10" s="161" t="s">
        <v>105</v>
      </c>
      <c r="B10" s="159"/>
      <c r="C10" s="159"/>
      <c r="D10" s="167">
        <f>SUMIF(Sample!E2:E113,"Total (Weight for 7.21785 Kg per Meter)",Sample!H2:H113)</f>
        <v>712.79877675</v>
      </c>
    </row>
    <row r="11" spans="1:4" ht="16.2" thickBot="1" x14ac:dyDescent="0.35">
      <c r="A11" s="164" t="s">
        <v>87</v>
      </c>
      <c r="B11" s="165"/>
      <c r="C11" s="165"/>
      <c r="D11" s="168">
        <f>SUM($D$5:$D$10)</f>
        <v>2362.1245983796293</v>
      </c>
    </row>
    <row r="12" spans="1:4" ht="15" thickTop="1" x14ac:dyDescent="0.3"/>
    <row r="13" spans="1:4" x14ac:dyDescent="0.3">
      <c r="A13" s="197" t="s">
        <v>146</v>
      </c>
      <c r="D13">
        <v>40</v>
      </c>
    </row>
    <row r="14" spans="1:4" x14ac:dyDescent="0.3">
      <c r="D14" s="160">
        <f>D13+D11</f>
        <v>2402.1245983796293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vt:lpstr>
      <vt:lpstr>ABSTRACT BILL</vt:lpstr>
      <vt:lpstr>Steel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BroThers</dc:creator>
  <cp:lastModifiedBy>GarG BroThers</cp:lastModifiedBy>
  <dcterms:created xsi:type="dcterms:W3CDTF">2015-06-05T18:17:20Z</dcterms:created>
  <dcterms:modified xsi:type="dcterms:W3CDTF">2026-06-10T11:57:13Z</dcterms:modified>
</cp:coreProperties>
</file>