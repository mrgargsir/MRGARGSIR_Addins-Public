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827"/>
  <workbookPr/>
  <mc:AlternateContent xmlns:mc="http://schemas.openxmlformats.org/markup-compatibility/2006">
    <mc:Choice Requires="x15">
      <x15ac:absPath xmlns:x15ac="http://schemas.microsoft.com/office/spreadsheetml/2010/11/ac" url="E:\Repo\MRGARGSIR_Addins-Public\MyTemplates\files\"/>
    </mc:Choice>
  </mc:AlternateContent>
  <xr:revisionPtr revIDLastSave="0" documentId="13_ncr:1_{388D032E-645E-41E8-9A0B-2603C4A2F7FE}" xr6:coauthVersionLast="47" xr6:coauthVersionMax="47" xr10:uidLastSave="{00000000-0000-0000-0000-000000000000}"/>
  <bookViews>
    <workbookView xWindow="-108" yWindow="-108" windowWidth="23256" windowHeight="12456" xr2:uid="{00000000-000D-0000-FFFF-FFFF00000000}"/>
  </bookViews>
  <sheets>
    <sheet name="Sample" sheetId="1" r:id="rId1"/>
    <sheet name="raw" sheetId="11"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17" i="11" l="1"/>
  <c r="L18" i="11" s="1"/>
  <c r="L19" i="11" s="1"/>
  <c r="A5" i="1"/>
  <c r="A11" i="1" s="1"/>
  <c r="A16" i="1" s="1"/>
  <c r="K9" i="1"/>
  <c r="K14" i="1"/>
  <c r="K19" i="1"/>
  <c r="K24" i="1"/>
  <c r="K29" i="1"/>
  <c r="K45" i="1"/>
  <c r="K55" i="1"/>
  <c r="K76" i="1"/>
  <c r="K81" i="1"/>
  <c r="K86" i="1"/>
  <c r="K91" i="1"/>
  <c r="K97" i="1"/>
  <c r="E7" i="1"/>
  <c r="H7" i="1" s="1"/>
  <c r="E6" i="1"/>
  <c r="H6" i="1" s="1"/>
  <c r="H12" i="1"/>
  <c r="H13" i="1" s="1"/>
  <c r="H14" i="1" s="1"/>
  <c r="L14" i="1" s="1"/>
  <c r="H17" i="1"/>
  <c r="H18" i="1" s="1"/>
  <c r="H19" i="1" s="1"/>
  <c r="H22" i="1"/>
  <c r="H23" i="1" s="1"/>
  <c r="H24" i="1" s="1"/>
  <c r="H27" i="1"/>
  <c r="H28" i="1" s="1"/>
  <c r="H29" i="1" s="1"/>
  <c r="H34" i="1"/>
  <c r="H35" i="1" s="1"/>
  <c r="H36" i="1" s="1"/>
  <c r="H37" i="1" s="1"/>
  <c r="E40" i="1"/>
  <c r="H40" i="1" s="1"/>
  <c r="H41" i="1" s="1"/>
  <c r="H42" i="1" s="1"/>
  <c r="H43" i="1" s="1"/>
  <c r="F50" i="1"/>
  <c r="E50" i="1"/>
  <c r="H50" i="1" s="1"/>
  <c r="H49" i="1"/>
  <c r="H59" i="1"/>
  <c r="H60" i="1" s="1"/>
  <c r="H61" i="1" s="1"/>
  <c r="H62" i="1" s="1"/>
  <c r="H65" i="1"/>
  <c r="H64" i="1"/>
  <c r="H71" i="1"/>
  <c r="H70" i="1"/>
  <c r="H72" i="1" s="1"/>
  <c r="H73" i="1" s="1"/>
  <c r="H74" i="1" s="1"/>
  <c r="H79" i="1"/>
  <c r="H84" i="1"/>
  <c r="H85" i="1" s="1"/>
  <c r="H86" i="1" s="1"/>
  <c r="H89" i="1"/>
  <c r="H90" i="1" s="1"/>
  <c r="H91" i="1" s="1"/>
  <c r="E95" i="1"/>
  <c r="H95" i="1" s="1"/>
  <c r="E94" i="1"/>
  <c r="H94" i="1" s="1"/>
  <c r="H100" i="1"/>
  <c r="H101" i="1" s="1"/>
  <c r="H102" i="1" s="1"/>
  <c r="L102" i="1" s="1"/>
  <c r="I128" i="1"/>
  <c r="H128" i="1"/>
  <c r="L128" i="1" s="1"/>
  <c r="M128" i="1" s="1"/>
  <c r="I127" i="1"/>
  <c r="H127" i="1"/>
  <c r="L127" i="1" s="1"/>
  <c r="M127" i="1" s="1"/>
  <c r="H126" i="1"/>
  <c r="L126" i="1" s="1"/>
  <c r="M126" i="1" s="1"/>
  <c r="H120" i="1"/>
  <c r="L120" i="1" s="1"/>
  <c r="M120" i="1" s="1"/>
  <c r="H124" i="1"/>
  <c r="L124" i="1" s="1"/>
  <c r="M124" i="1" s="1"/>
  <c r="H125" i="1"/>
  <c r="L125" i="1" s="1"/>
  <c r="M125" i="1" s="1"/>
  <c r="H121" i="1"/>
  <c r="L121" i="1" s="1"/>
  <c r="M121" i="1" s="1"/>
  <c r="H119" i="1"/>
  <c r="L119" i="1" s="1"/>
  <c r="M119" i="1" s="1"/>
  <c r="H118" i="1"/>
  <c r="L118" i="1" s="1"/>
  <c r="M118" i="1" s="1"/>
  <c r="H116" i="1"/>
  <c r="L116" i="1" s="1"/>
  <c r="H123" i="1"/>
  <c r="L123" i="1" s="1"/>
  <c r="M123" i="1" s="1"/>
  <c r="H122" i="1"/>
  <c r="L122" i="1" s="1"/>
  <c r="M122" i="1" s="1"/>
  <c r="H117" i="1"/>
  <c r="L117" i="1" s="1"/>
  <c r="M117" i="1" s="1"/>
  <c r="L91" i="1" l="1"/>
  <c r="L86" i="1"/>
  <c r="H96" i="1"/>
  <c r="H97" i="1" s="1"/>
  <c r="L97" i="1" s="1"/>
  <c r="L29" i="1"/>
  <c r="L24" i="1"/>
  <c r="L19" i="1"/>
  <c r="H66" i="1"/>
  <c r="H67" i="1" s="1"/>
  <c r="H68" i="1" s="1"/>
  <c r="L21" i="11"/>
  <c r="L20" i="11"/>
  <c r="L22" i="11" s="1"/>
  <c r="I24" i="11" s="1"/>
  <c r="A21" i="1"/>
  <c r="H45" i="1"/>
  <c r="L45" i="1" s="1"/>
  <c r="H8" i="1"/>
  <c r="H9" i="1" s="1"/>
  <c r="L9" i="1" s="1"/>
  <c r="H51" i="1"/>
  <c r="H52" i="1" s="1"/>
  <c r="H53" i="1" s="1"/>
  <c r="H55" i="1" s="1"/>
  <c r="L55" i="1" s="1"/>
  <c r="H76" i="1"/>
  <c r="L76" i="1" s="1"/>
  <c r="L129" i="1"/>
  <c r="H80" i="1"/>
  <c r="H81" i="1" s="1"/>
  <c r="L81" i="1" s="1"/>
  <c r="M116" i="1"/>
  <c r="M129" i="1" s="1"/>
  <c r="L104" i="1" l="1"/>
  <c r="A26" i="1"/>
  <c r="L105" i="1" l="1"/>
  <c r="L106" i="1" s="1"/>
  <c r="A31" i="1"/>
  <c r="A47" i="1" s="1"/>
  <c r="L108" i="1" l="1"/>
  <c r="L107" i="1"/>
  <c r="L130" i="1"/>
  <c r="L131" i="1" s="1"/>
  <c r="A57" i="1"/>
  <c r="L109" i="1" l="1"/>
  <c r="I111" i="1" s="1"/>
  <c r="M130" i="1" l="1"/>
  <c r="M131" i="1" s="1"/>
  <c r="L132" i="1" s="1"/>
  <c r="A78" i="1"/>
  <c r="A83" i="1" l="1"/>
  <c r="A88" i="1" s="1"/>
  <c r="A93" i="1" l="1"/>
  <c r="A9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GarG BroThers</author>
  </authors>
  <commentList>
    <comment ref="B11" authorId="0" shapeId="0" xr:uid="{62502C2E-74A4-4305-B2AC-7C672CA0888E}">
      <text>
        <r>
          <rPr>
            <b/>
            <sz val="9"/>
            <color indexed="81"/>
            <rFont val="Tahoma"/>
            <family val="2"/>
          </rPr>
          <t>HEWP Tool:</t>
        </r>
        <r>
          <rPr>
            <sz val="9"/>
            <color indexed="81"/>
            <rFont val="Tahoma"/>
            <family val="2"/>
          </rPr>
          <t xml:space="preserve">
always chapter number in start
</t>
        </r>
      </text>
    </comment>
    <comment ref="C17" authorId="0" shapeId="0" xr:uid="{0E61A7BF-3E8F-4943-946A-A76D74678D80}">
      <text>
        <r>
          <rPr>
            <b/>
            <sz val="9"/>
            <color indexed="81"/>
            <rFont val="Tahoma"/>
            <family val="2"/>
          </rPr>
          <t>HEWP Tool:
distance keywords , so it will auto select right rate type...</t>
        </r>
      </text>
    </comment>
    <comment ref="C22" authorId="0" shapeId="0" xr:uid="{F67CBF17-31AF-4341-9683-45F77F7FBF5B}">
      <text>
        <r>
          <rPr>
            <b/>
            <sz val="9"/>
            <color indexed="81"/>
            <rFont val="Tahoma"/>
            <family val="2"/>
          </rPr>
          <t>GarG BroThers:</t>
        </r>
        <r>
          <rPr>
            <sz val="9"/>
            <color indexed="81"/>
            <rFont val="Tahoma"/>
            <family val="2"/>
          </rPr>
          <t xml:space="preserve">
HEWP Tool:
distance keywords , so it will auto select right rate type...</t>
        </r>
      </text>
    </comment>
    <comment ref="I27" authorId="0" shapeId="0" xr:uid="{60D68A87-EEB2-420A-B10B-07F35D4B8CEB}">
      <text>
        <r>
          <rPr>
            <b/>
            <sz val="9"/>
            <color indexed="81"/>
            <rFont val="Tahoma"/>
            <family val="2"/>
          </rPr>
          <t>HEWP Tool:</t>
        </r>
        <r>
          <rPr>
            <sz val="9"/>
            <color indexed="81"/>
            <rFont val="Tahoma"/>
            <family val="2"/>
          </rPr>
          <t xml:space="preserve">
use directly kg..</t>
        </r>
      </text>
    </comment>
    <comment ref="C33" authorId="0" shapeId="0" xr:uid="{BD7601F4-4A7F-439C-97EA-895409BCC7A9}">
      <text>
        <r>
          <rPr>
            <b/>
            <sz val="9"/>
            <color indexed="81"/>
            <rFont val="Tahoma"/>
            <family val="2"/>
          </rPr>
          <t>HEWP Tool</t>
        </r>
        <r>
          <rPr>
            <sz val="9"/>
            <color indexed="81"/>
            <rFont val="Tahoma"/>
            <family val="2"/>
          </rPr>
          <t>:
use diameter , to auto calculate steel In kg</t>
        </r>
      </text>
    </comment>
    <comment ref="C49" authorId="0" shapeId="0" xr:uid="{3CBF117B-5653-433E-BF15-8EA2D1DB405D}">
      <text>
        <r>
          <rPr>
            <b/>
            <sz val="9"/>
            <color indexed="81"/>
            <rFont val="Tahoma"/>
            <family val="2"/>
          </rPr>
          <t>HEWP Tool:
use weight  kg per factor..</t>
        </r>
      </text>
    </comment>
    <comment ref="C59" authorId="0" shapeId="0" xr:uid="{3314EE12-C8DF-46BF-9B53-575D22480649}">
      <text>
        <r>
          <rPr>
            <b/>
            <sz val="9"/>
            <color indexed="81"/>
            <rFont val="Tahoma"/>
            <family val="2"/>
          </rPr>
          <t>HEWP Tool:
use weight kg factor..</t>
        </r>
      </text>
    </comment>
  </commentList>
</comments>
</file>

<file path=xl/sharedStrings.xml><?xml version="1.0" encoding="utf-8"?>
<sst xmlns="http://schemas.openxmlformats.org/spreadsheetml/2006/main" count="260" uniqueCount="139">
  <si>
    <t>6.33.6</t>
  </si>
  <si>
    <t xml:space="preserve"> Thermo-Mechanically Treated bars of grade Fe-500D kg or more.</t>
  </si>
  <si>
    <t>12mm dia</t>
  </si>
  <si>
    <t>rft</t>
  </si>
  <si>
    <t>Total (rft)</t>
  </si>
  <si>
    <t>Kg</t>
  </si>
  <si>
    <t>A</t>
  </si>
  <si>
    <t>8mm dia</t>
  </si>
  <si>
    <t>Ring (15*15)</t>
  </si>
  <si>
    <t>B</t>
  </si>
  <si>
    <t>Total A + B</t>
  </si>
  <si>
    <t>MS plate 12mm thickness</t>
  </si>
  <si>
    <t>sft</t>
  </si>
  <si>
    <t>Total (sft)</t>
  </si>
  <si>
    <t>Total (sqm)</t>
  </si>
  <si>
    <t>sqm</t>
  </si>
  <si>
    <t>13.30.1</t>
  </si>
  <si>
    <t>150MM SQAURE  PIPE 4mm thick</t>
  </si>
  <si>
    <t>Total (Weight for 18.361 Kg per Meter)</t>
  </si>
  <si>
    <t>truss using pipe 100*50*3mm</t>
  </si>
  <si>
    <t>Total (Weight for 6.8 Kg per Meter)</t>
  </si>
  <si>
    <t xml:space="preserve">truss using pipe </t>
  </si>
  <si>
    <t>4.14.1</t>
  </si>
  <si>
    <t>Side wall</t>
  </si>
  <si>
    <t>cft</t>
  </si>
  <si>
    <t>Toe wall</t>
  </si>
  <si>
    <t>Total (cft)</t>
  </si>
  <si>
    <t>Total (cum)</t>
  </si>
  <si>
    <t>cum</t>
  </si>
  <si>
    <t>9.59.2</t>
  </si>
  <si>
    <t>Nos</t>
  </si>
  <si>
    <t>Total (nos)</t>
  </si>
  <si>
    <t>22.181</t>
  </si>
  <si>
    <t>Liter</t>
  </si>
  <si>
    <t>Total (liter)</t>
  </si>
  <si>
    <t>22.222.2.2</t>
  </si>
  <si>
    <t>3.1.2</t>
  </si>
  <si>
    <t>5KM</t>
  </si>
  <si>
    <t>6km - 8km</t>
  </si>
  <si>
    <t>liter</t>
  </si>
  <si>
    <t>each</t>
  </si>
  <si>
    <t>Total (each)</t>
  </si>
  <si>
    <t>Take 7.21785 Kg per Meter</t>
  </si>
  <si>
    <t>meter</t>
  </si>
  <si>
    <t>Total (meter)</t>
  </si>
  <si>
    <t>Total (Weight for 7.21785 Kg per Meter)</t>
  </si>
  <si>
    <t>Take 6.8 Kg per Meter</t>
  </si>
  <si>
    <t>Take 18.361 Kg per Meter</t>
  </si>
  <si>
    <t>Take 32.4 Kg per Sqm</t>
  </si>
  <si>
    <t>Total (Weight for 32.4 Kg per Sqm)</t>
  </si>
  <si>
    <t>Total (Weight of φ8mm Rebar)</t>
  </si>
  <si>
    <t>Total (Weight of φ12mm Rebar)</t>
  </si>
  <si>
    <t>litre</t>
  </si>
  <si>
    <t>C</t>
  </si>
  <si>
    <t>Total A + B + C</t>
  </si>
  <si>
    <t>kg</t>
  </si>
  <si>
    <t>Total A</t>
  </si>
  <si>
    <t>13.31</t>
  </si>
  <si>
    <t>Rate</t>
  </si>
  <si>
    <t>Depth</t>
  </si>
  <si>
    <t>Breadth</t>
  </si>
  <si>
    <t>Length</t>
  </si>
  <si>
    <t>Description</t>
  </si>
  <si>
    <t>HSR
Item No</t>
  </si>
  <si>
    <t>Sr No</t>
  </si>
  <si>
    <t>Quantity</t>
  </si>
  <si>
    <t>Unit</t>
  </si>
  <si>
    <t>Rate Type</t>
  </si>
  <si>
    <t>Amount</t>
  </si>
  <si>
    <t>End</t>
  </si>
  <si>
    <t>Total</t>
  </si>
  <si>
    <t>any +/-</t>
  </si>
  <si>
    <t>Total Amount</t>
  </si>
  <si>
    <t>Add 18% GST</t>
  </si>
  <si>
    <t>Contingency</t>
  </si>
  <si>
    <t>GRAND TOTAL</t>
  </si>
  <si>
    <t>Estimate of Ramfal Building</t>
  </si>
  <si>
    <t>manual description</t>
  </si>
  <si>
    <t>nos</t>
  </si>
  <si>
    <t>NS</t>
  </si>
  <si>
    <t>Material</t>
  </si>
  <si>
    <t>Gst</t>
  </si>
  <si>
    <t>Amount + Gst</t>
  </si>
  <si>
    <t>Cement (Bags)</t>
  </si>
  <si>
    <t>Tibba Sand (Cft)</t>
  </si>
  <si>
    <t>Cresher (Cft)</t>
  </si>
  <si>
    <t>Bricks Non Modular (Nos)</t>
  </si>
  <si>
    <t>Pvc Pipe Clips 110mm (Each)</t>
  </si>
  <si>
    <t>Ms Bolt &amp; Plate (Kg)</t>
  </si>
  <si>
    <t>Tublar Pipe (Kg)</t>
  </si>
  <si>
    <t>UPVC pipe 110mm dia</t>
  </si>
  <si>
    <t>water storage tanki</t>
  </si>
  <si>
    <t>Bags</t>
  </si>
  <si>
    <t>Cft</t>
  </si>
  <si>
    <t>NS -  PAN :- manual description</t>
  </si>
  <si>
    <t>Total Amount for Materials</t>
  </si>
  <si>
    <t>Labour</t>
  </si>
  <si>
    <t>Grand Total</t>
  </si>
  <si>
    <t xml:space="preserve">Grand Total (including GST) : </t>
  </si>
  <si>
    <t>HSR</t>
  </si>
  <si>
    <t>6.34.6</t>
  </si>
  <si>
    <t>steel weight</t>
  </si>
  <si>
    <t>Total (kg)</t>
  </si>
  <si>
    <t>2.RM079</t>
  </si>
  <si>
    <t>6.30.1</t>
  </si>
  <si>
    <t>Steel Shuttering (Sft)</t>
  </si>
  <si>
    <t>Water</t>
  </si>
  <si>
    <t>Sft</t>
  </si>
  <si>
    <t>Rs</t>
  </si>
  <si>
    <t>2.CA044 :- CA044: Spun iron S &amp; S pipes 125 mm dia</t>
  </si>
  <si>
    <t>Total (Kg)</t>
  </si>
  <si>
    <t>Through Rate 01.04.23</t>
  </si>
  <si>
    <r>
      <t>6.30: Concrete and RCC Work I CENTRING AND SHUTTERING (FORM WORK) Centering and shuttering including strutting, propping etc. and removal of form for</t>
    </r>
    <r>
      <rPr>
        <b/>
        <i/>
        <sz val="9"/>
        <color rgb="FF8B0000"/>
        <rFont val="Calibri"/>
        <family val="2"/>
      </rPr>
      <t xml:space="preserve">
6.30.1: Foundations, footings, bases of columns, etc. for mass concrete</t>
    </r>
  </si>
  <si>
    <r>
      <t>22.222: Sanitary Installations HDPE pipes for Drainage Providing and fixing in position singel socket SWR UPVC soil waste or antisyphonage pipes as per IS 13592 of E.D.C manufacture or of any other reputed firm including cutting, jointing, wastage, but excluding cost of jointing.</t>
    </r>
    <r>
      <rPr>
        <b/>
        <i/>
        <sz val="8"/>
        <color rgb="FF800080"/>
        <rFont val="Calibri"/>
        <family val="2"/>
      </rPr>
      <t xml:space="preserve">
22.222.2.2: Single Socket Type B  110mm o/d SWR UPVC pipe lines laid complete</t>
    </r>
  </si>
  <si>
    <t>22.181: Sanitary Installations LOFT AND TERRACE WATER TANKS Providing and placing on terrace (at all floor levels) polyethylene water storage tank, IS : 12701 marked, with cover and suitable locking arrangement and making necessary holes for inlet, outlet and overflow pipes but without fittings and the base support for tank.</t>
  </si>
  <si>
    <r>
      <t>9.59: Hoisting and Roofing RAIN WATER SPOUTS AND PIPES Providing and fixing Unplasticised -PVC pipe clips of approved design to Unplasticised - PVC rain water pipes by means of 50x50x50 mm hard wood plugs, screwed with M.S. screws of required length, including cutting brick work and fixing in cement mortar 1:4 (1 cement : 4 coarse sand) and making good the wall etc. complete.</t>
    </r>
    <r>
      <rPr>
        <b/>
        <i/>
        <sz val="9"/>
        <color rgb="FF8B0000"/>
        <rFont val="Calibri"/>
        <family val="2"/>
      </rPr>
      <t xml:space="preserve">
9.59.2: 110 mm</t>
    </r>
  </si>
  <si>
    <t>Through Rate 13.06.24</t>
  </si>
  <si>
    <r>
      <t>13.30: Steel and Iron Work SIGLE/BUILT-UP STEEL/TUBULAR SECTIONS Steel work in built up tubular (round, square or rectangular hollow tubes etc.) trusses etc., including cutting, hoisting, fixing in position and applying a priming coat of approved steel primer, including welding and bolted with special shaped washers etc. complete.</t>
    </r>
    <r>
      <rPr>
        <b/>
        <i/>
        <sz val="9"/>
        <color rgb="FF8B0000"/>
        <rFont val="Calibri"/>
        <family val="2"/>
      </rPr>
      <t xml:space="preserve">
13.30.1: Hot finished welded type tubes</t>
    </r>
  </si>
  <si>
    <t>13.31: Steel and Iron Work SIGLE/BUILT-UP STEEL/TUBULAR SECTIONS Providing and fixing mild steel round holding down bolts with nuts and washer plates complete.</t>
  </si>
  <si>
    <r>
      <t>6.33: Steel reinforcement for R.C.C. work, where not included in the complete rate of RCC, including straightening, cutting, bending, placing in position, binding, wastage, overlaps, welded joints, spacer bars, chairs, stays, hangers and annealed steel wire etc. complete in all respect for all heights/depths/storeys/basements etc. complete in all respect below plinth level.  Note: - Reinforcement shall be measured in length including hooks, if any, separately for different diameters as actually used in work, excluding overlaps. Wastage, overlaps, couplings, welded joints, spacer bars, chairs, stays, hangers and annealed steel wire or other methods of binding and placing shall not be measured and cost of these items shall be deemed to be included in the rates for reinforcement.</t>
    </r>
    <r>
      <rPr>
        <b/>
        <i/>
        <sz val="9"/>
        <color rgb="FF8B0000"/>
        <rFont val="Calibri"/>
        <family val="2"/>
      </rPr>
      <t xml:space="preserve">
6.33.6: Thermo-Mechanically Treated bars of grade Fe-500D or more.</t>
    </r>
  </si>
  <si>
    <r>
      <t>6.34: Steel reinforcement for R.C.C. work, where not included in the complete rate of RCC, including straightening, cutting, bending, placing in position, binding, wastage, overlaps, welded joints, spacer bars, chairs, stays, hangers and annealed steel wire etc. complete in all respect above plinth level. Note:- Reinforcement shall be measured in length including hooks, if any, separately for different diameters as actually used in work , excluding overlaps. Wastage, overlaps, couplings, welded joints, spacer bars, chairs, stays, hangers and annealed steel wire or other methods of binding &amp; placing shall not be measured and cost of these items shall be deemed to be included in the rates for reinforcement.</t>
    </r>
    <r>
      <rPr>
        <b/>
        <i/>
        <sz val="9"/>
        <color rgb="FF8B0000"/>
        <rFont val="Calibri"/>
        <family val="2"/>
      </rPr>
      <t xml:space="preserve">
6.34.6: Thermo-Mechanically Treated bars of grade Fe-500D or more.</t>
    </r>
  </si>
  <si>
    <t>Rate 01.04.23</t>
  </si>
  <si>
    <t>Beyond 5km up to 10km per KM 01.04.23</t>
  </si>
  <si>
    <r>
      <t>3.1: Loading, Unloading and Carriage of Materials Schedule A By Mechanical Transport including loading, unloading and stacking</t>
    </r>
    <r>
      <rPr>
        <b/>
        <i/>
        <sz val="9"/>
        <color rgb="FF8B0000"/>
        <rFont val="Calibri"/>
        <family val="2"/>
      </rPr>
      <t xml:space="preserve">
3.1.2: Earth</t>
    </r>
  </si>
  <si>
    <t>5km 01.04.23</t>
  </si>
  <si>
    <t>2.RM079: Earth Cost or compensation for earth taken from private land</t>
  </si>
  <si>
    <r>
      <t>4.14: Earth Work and Rock Cutting Earth work in excavation by mechanical means (Hydraulic excavator) / manual means in foundation trenches or drains (not exceeding 1.5 m in width or 10 sqm on plan), including dressing of sides and ramming of bottoms, lift up to 1.5 m, including getting out the excavated soil and disposal of surplus excavated soil as directed, within a lead of 50 m.</t>
    </r>
    <r>
      <rPr>
        <b/>
        <i/>
        <sz val="9"/>
        <color rgb="FF8B0000"/>
        <rFont val="Calibri"/>
        <family val="2"/>
      </rPr>
      <t xml:space="preserve">
4.14.1: All kinds of soil.</t>
    </r>
  </si>
  <si>
    <t>Sub Component:</t>
  </si>
  <si>
    <t>Main Component:</t>
  </si>
  <si>
    <t>Name of Work:</t>
  </si>
  <si>
    <t xml:space="preserve">Say Rs.: </t>
  </si>
  <si>
    <t>7.22.1</t>
  </si>
  <si>
    <t xml:space="preserve"> </t>
  </si>
  <si>
    <t>16mm dia</t>
  </si>
  <si>
    <t>some thing b</t>
  </si>
  <si>
    <t>some thing a</t>
  </si>
  <si>
    <t>L1</t>
  </si>
  <si>
    <t>L2</t>
  </si>
  <si>
    <t>NS ITEM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</si>
</sst>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7" formatCode="_(* #,##0_);_(* \(#,##0\);_(* &quot;-&quot;??_);_(@_)"/>
    <numFmt numFmtId="168" formatCode="0.000%"/>
    <numFmt numFmtId="169" formatCode="_(* #,##0_);_(* \-#,##0_);_(* &quot;-&quot;??_);_(@_)"/>
  </numFmts>
  <fonts count="24" x14ac:knownFonts="1">
    <font>
      <sz val="11"/>
      <color theme="1"/>
      <name val="Calibri"/>
      <family val="2"/>
      <scheme val="minor"/>
    </font>
    <font>
      <b/>
      <sz val="11"/>
      <color theme="1"/>
      <name val="Calibri"/>
      <family val="2"/>
      <scheme val="minor"/>
    </font>
    <font>
      <sz val="11"/>
      <color theme="1"/>
      <name val="Times New Roman"/>
      <family val="1"/>
    </font>
    <font>
      <b/>
      <sz val="11"/>
      <color theme="1"/>
      <name val="Times New Roman"/>
      <family val="1"/>
    </font>
    <font>
      <b/>
      <sz val="12"/>
      <color theme="1"/>
      <name val="Calibri"/>
      <family val="2"/>
      <scheme val="minor"/>
    </font>
    <font>
      <b/>
      <i/>
      <sz val="12"/>
      <color rgb="FF000000"/>
      <name val="Times New Roman"/>
      <family val="1"/>
    </font>
    <font>
      <b/>
      <i/>
      <sz val="14"/>
      <color rgb="FF000000"/>
      <name val="Times New Roman"/>
      <family val="1"/>
    </font>
    <font>
      <b/>
      <sz val="11"/>
      <color rgb="FF000000"/>
      <name val="Calibri"/>
      <family val="2"/>
      <scheme val="minor"/>
    </font>
    <font>
      <b/>
      <sz val="24"/>
      <color theme="1"/>
      <name val="Calibri"/>
      <family val="2"/>
      <scheme val="minor"/>
    </font>
    <font>
      <b/>
      <sz val="14"/>
      <color rgb="FF000000"/>
      <name val="Times New Roman"/>
      <family val="1"/>
    </font>
    <font>
      <b/>
      <sz val="12"/>
      <color rgb="FF000000"/>
      <name val="Times New Roman"/>
      <family val="1"/>
    </font>
    <font>
      <b/>
      <sz val="12"/>
      <name val="Calibri"/>
      <family val="2"/>
    </font>
    <font>
      <sz val="12"/>
      <name val="Calibri"/>
      <family val="2"/>
    </font>
    <font>
      <b/>
      <sz val="12"/>
      <color rgb="FFFF0000"/>
      <name val="Calibri"/>
      <family val="2"/>
    </font>
    <font>
      <b/>
      <i/>
      <sz val="12"/>
      <color rgb="FFFF0000"/>
      <name val="Calibri"/>
      <family val="2"/>
    </font>
    <font>
      <b/>
      <i/>
      <sz val="10"/>
      <color rgb="FF006400"/>
      <name val="Calibri"/>
      <family val="2"/>
    </font>
    <font>
      <b/>
      <i/>
      <sz val="9"/>
      <color rgb="FF8B0000"/>
      <name val="Calibri"/>
      <family val="2"/>
    </font>
    <font>
      <b/>
      <i/>
      <sz val="8"/>
      <color rgb="FF800080"/>
      <name val="Calibri"/>
      <family val="2"/>
    </font>
    <font>
      <b/>
      <sz val="12"/>
      <color rgb="FF00B050"/>
      <name val="Calibri"/>
      <family val="2"/>
    </font>
    <font>
      <b/>
      <sz val="12"/>
      <color rgb="FF7030A0"/>
      <name val="Calibri"/>
      <family val="2"/>
    </font>
    <font>
      <b/>
      <i/>
      <sz val="12"/>
      <color rgb="FF000000"/>
      <name val="Calibri"/>
      <family val="2"/>
      <scheme val="minor"/>
    </font>
    <font>
      <b/>
      <i/>
      <sz val="14"/>
      <color rgb="FF000000"/>
      <name val="Calibri"/>
      <family val="2"/>
      <scheme val="minor"/>
    </font>
    <font>
      <sz val="9"/>
      <color indexed="81"/>
      <name val="Tahoma"/>
      <family val="2"/>
    </font>
    <font>
      <b/>
      <sz val="9"/>
      <color indexed="81"/>
      <name val="Tahoma"/>
      <family val="2"/>
    </font>
  </fonts>
  <fills count="16">
    <fill>
      <patternFill patternType="none"/>
    </fill>
    <fill>
      <patternFill patternType="gray125"/>
    </fill>
    <fill>
      <patternFill patternType="solid">
        <fgColor rgb="FFFFFFC8"/>
        <bgColor indexed="64"/>
      </patternFill>
    </fill>
    <fill>
      <patternFill patternType="solid">
        <fgColor rgb="FFDCFFDC"/>
        <bgColor indexed="64"/>
      </patternFill>
    </fill>
    <fill>
      <patternFill patternType="solid">
        <fgColor rgb="FFDCE6FF"/>
        <bgColor indexed="64"/>
      </patternFill>
    </fill>
    <fill>
      <patternFill patternType="solid">
        <fgColor rgb="FFC8FFC8"/>
        <bgColor indexed="64"/>
      </patternFill>
    </fill>
    <fill>
      <patternFill patternType="solid">
        <fgColor rgb="FFF0F0F0"/>
        <bgColor indexed="64"/>
      </patternFill>
    </fill>
    <fill>
      <patternFill patternType="solid">
        <fgColor rgb="FFFFE699"/>
        <bgColor indexed="64"/>
      </patternFill>
    </fill>
    <fill>
      <patternFill patternType="solid">
        <fgColor rgb="FFFFE6C8"/>
        <bgColor indexed="64"/>
      </patternFill>
    </fill>
    <fill>
      <patternFill patternType="solid">
        <fgColor rgb="FFFFFF99"/>
        <bgColor indexed="64"/>
      </patternFill>
    </fill>
    <fill>
      <patternFill patternType="solid">
        <fgColor rgb="FFC5E8C3"/>
        <bgColor indexed="64"/>
      </patternFill>
    </fill>
    <fill>
      <patternFill patternType="solid">
        <fgColor rgb="FFC3E8E5"/>
        <bgColor indexed="64"/>
      </patternFill>
    </fill>
    <fill>
      <patternFill patternType="solid">
        <fgColor rgb="FFC3C5E8"/>
        <bgColor indexed="64"/>
      </patternFill>
    </fill>
    <fill>
      <patternFill patternType="solid">
        <fgColor rgb="FFE5C3E8"/>
        <bgColor indexed="64"/>
      </patternFill>
    </fill>
    <fill>
      <patternFill patternType="solid">
        <fgColor rgb="FFE8C3C5"/>
        <bgColor indexed="64"/>
      </patternFill>
    </fill>
    <fill>
      <patternFill patternType="solid">
        <fgColor rgb="FFE8E5C3"/>
        <bgColor indexed="64"/>
      </patternFill>
    </fill>
  </fills>
  <borders count="46">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auto="1"/>
      </top>
      <bottom style="thin">
        <color auto="1"/>
      </bottom>
      <diagonal/>
    </border>
    <border>
      <left/>
      <right/>
      <top/>
      <bottom style="thin">
        <color indexed="64"/>
      </bottom>
      <diagonal/>
    </border>
    <border>
      <left style="thick">
        <color indexed="64"/>
      </left>
      <right style="thin">
        <color indexed="64"/>
      </right>
      <top style="thin">
        <color auto="1"/>
      </top>
      <bottom style="thin">
        <color auto="1"/>
      </bottom>
      <diagonal/>
    </border>
    <border>
      <left style="thick">
        <color indexed="64"/>
      </left>
      <right style="thin">
        <color indexed="64"/>
      </right>
      <top style="thick">
        <color auto="1"/>
      </top>
      <bottom style="thin">
        <color auto="1"/>
      </bottom>
      <diagonal/>
    </border>
    <border>
      <left style="thin">
        <color indexed="64"/>
      </left>
      <right style="thin">
        <color indexed="64"/>
      </right>
      <top style="thick">
        <color auto="1"/>
      </top>
      <bottom style="thin">
        <color auto="1"/>
      </bottom>
      <diagonal/>
    </border>
    <border>
      <left style="thick">
        <color indexed="64"/>
      </left>
      <right/>
      <top style="thin">
        <color indexed="64"/>
      </top>
      <bottom style="thin">
        <color indexed="64"/>
      </bottom>
      <diagonal/>
    </border>
    <border>
      <left style="thin">
        <color indexed="64"/>
      </left>
      <right style="thin">
        <color auto="1"/>
      </right>
      <top style="thin">
        <color auto="1"/>
      </top>
      <bottom style="thin">
        <color auto="1"/>
      </bottom>
      <diagonal/>
    </border>
    <border>
      <left/>
      <right style="thick">
        <color indexed="64"/>
      </right>
      <top style="thin">
        <color auto="1"/>
      </top>
      <bottom style="thin">
        <color auto="1"/>
      </bottom>
      <diagonal/>
    </border>
    <border>
      <left style="thin">
        <color indexed="64"/>
      </left>
      <right style="thick">
        <color indexed="64"/>
      </right>
      <top style="thin">
        <color auto="1"/>
      </top>
      <bottom style="thin">
        <color auto="1"/>
      </bottom>
      <diagonal/>
    </border>
    <border>
      <left style="thick">
        <color indexed="64"/>
      </left>
      <right/>
      <top style="thin">
        <color indexed="64"/>
      </top>
      <bottom style="thick">
        <color indexed="64"/>
      </bottom>
      <diagonal/>
    </border>
    <border>
      <left/>
      <right/>
      <top style="thin">
        <color indexed="64"/>
      </top>
      <bottom style="thick">
        <color indexed="64"/>
      </bottom>
      <diagonal/>
    </border>
    <border>
      <left/>
      <right style="thick">
        <color indexed="64"/>
      </right>
      <top style="thin">
        <color indexed="64"/>
      </top>
      <bottom style="thick">
        <color indexed="64"/>
      </bottom>
      <diagonal/>
    </border>
    <border>
      <left style="thin">
        <color indexed="64"/>
      </left>
      <right style="thick">
        <color indexed="64"/>
      </right>
      <top style="thick">
        <color auto="1"/>
      </top>
      <bottom style="thin">
        <color auto="1"/>
      </bottom>
      <diagonal/>
    </border>
    <border>
      <left style="thin">
        <color indexed="64"/>
      </left>
      <right style="thin">
        <color indexed="64"/>
      </right>
      <top style="medium">
        <color auto="1"/>
      </top>
      <bottom style="thin">
        <color auto="1"/>
      </bottom>
      <diagonal/>
    </border>
    <border>
      <left/>
      <right/>
      <top style="thin">
        <color indexed="64"/>
      </top>
      <bottom style="medium">
        <color indexed="64"/>
      </bottom>
      <diagonal/>
    </border>
    <border>
      <left style="thick">
        <color indexed="64"/>
      </left>
      <right/>
      <top/>
      <bottom style="thick">
        <color auto="1"/>
      </bottom>
      <diagonal/>
    </border>
    <border>
      <left/>
      <right/>
      <top/>
      <bottom style="thick">
        <color auto="1"/>
      </bottom>
      <diagonal/>
    </border>
    <border>
      <left/>
      <right style="thick">
        <color indexed="64"/>
      </right>
      <top/>
      <bottom style="thick">
        <color auto="1"/>
      </bottom>
      <diagonal/>
    </border>
    <border>
      <left style="thin">
        <color indexed="64"/>
      </left>
      <right style="thin">
        <color auto="1"/>
      </right>
      <top/>
      <bottom style="thin">
        <color indexed="64"/>
      </bottom>
      <diagonal/>
    </border>
    <border>
      <left style="thin">
        <color indexed="64"/>
      </left>
      <right style="thin">
        <color auto="1"/>
      </right>
      <top style="thin">
        <color auto="1"/>
      </top>
      <bottom style="thin">
        <color auto="1"/>
      </bottom>
      <diagonal/>
    </border>
    <border>
      <left style="medium">
        <color auto="1"/>
      </left>
      <right/>
      <top style="thin">
        <color auto="1"/>
      </top>
      <bottom style="thin">
        <color indexed="64"/>
      </bottom>
      <diagonal/>
    </border>
    <border>
      <left style="medium">
        <color auto="1"/>
      </left>
      <right/>
      <top/>
      <bottom style="thin">
        <color indexed="64"/>
      </bottom>
      <diagonal/>
    </border>
    <border>
      <left style="medium">
        <color auto="1"/>
      </left>
      <right style="thin">
        <color auto="1"/>
      </right>
      <top style="medium">
        <color auto="1"/>
      </top>
      <bottom style="thin">
        <color auto="1"/>
      </bottom>
      <diagonal/>
    </border>
    <border>
      <left style="medium">
        <color auto="1"/>
      </left>
      <right/>
      <top style="thin">
        <color auto="1"/>
      </top>
      <bottom style="medium">
        <color indexed="64"/>
      </bottom>
      <diagonal/>
    </border>
    <border>
      <left style="thin">
        <color indexed="64"/>
      </left>
      <right style="thin">
        <color auto="1"/>
      </right>
      <top style="thin">
        <color auto="1"/>
      </top>
      <bottom style="medium">
        <color indexed="64"/>
      </bottom>
      <diagonal/>
    </border>
    <border>
      <left style="thin">
        <color indexed="64"/>
      </left>
      <right style="medium">
        <color auto="1"/>
      </right>
      <top style="medium">
        <color auto="1"/>
      </top>
      <bottom style="thin">
        <color auto="1"/>
      </bottom>
      <diagonal/>
    </border>
    <border>
      <left style="thin">
        <color indexed="64"/>
      </left>
      <right style="medium">
        <color auto="1"/>
      </right>
      <top style="thin">
        <color auto="1"/>
      </top>
      <bottom style="thin">
        <color auto="1"/>
      </bottom>
      <diagonal/>
    </border>
    <border>
      <left/>
      <right style="medium">
        <color auto="1"/>
      </right>
      <top/>
      <bottom style="thin">
        <color indexed="64"/>
      </bottom>
      <diagonal/>
    </border>
    <border>
      <left/>
      <right style="medium">
        <color auto="1"/>
      </right>
      <top style="thin">
        <color indexed="64"/>
      </top>
      <bottom style="thin">
        <color indexed="64"/>
      </bottom>
      <diagonal/>
    </border>
    <border>
      <left/>
      <right style="medium">
        <color auto="1"/>
      </right>
      <top style="thin">
        <color indexed="64"/>
      </top>
      <bottom style="medium">
        <color indexed="64"/>
      </bottom>
      <diagonal/>
    </border>
    <border diagonalUp="1">
      <left/>
      <right style="medium">
        <color auto="1"/>
      </right>
      <top/>
      <bottom/>
      <diagonal style="mediumDashDot">
        <color rgb="FF000000"/>
      </diagonal>
    </border>
    <border>
      <left style="mediumDashDot">
        <color rgb="FF000000"/>
      </left>
      <right style="medium">
        <color auto="1"/>
      </right>
      <top/>
      <bottom/>
      <diagonal/>
    </border>
    <border diagonalDown="1">
      <left/>
      <right style="medium">
        <color auto="1"/>
      </right>
      <top/>
      <bottom/>
      <diagonal style="mediumDashDot">
        <color rgb="FF000000"/>
      </diagonal>
    </border>
    <border>
      <left style="thick">
        <color auto="1"/>
      </left>
      <right/>
      <top style="thin">
        <color auto="1"/>
      </top>
      <bottom style="thin">
        <color auto="1"/>
      </bottom>
      <diagonal/>
    </border>
    <border>
      <left/>
      <right style="thick">
        <color auto="1"/>
      </right>
      <top style="thin">
        <color auto="1"/>
      </top>
      <bottom style="thin">
        <color auto="1"/>
      </bottom>
      <diagonal/>
    </border>
    <border>
      <left/>
      <right/>
      <top style="thick">
        <color auto="1"/>
      </top>
      <bottom style="thin">
        <color indexed="64"/>
      </bottom>
      <diagonal/>
    </border>
    <border>
      <left/>
      <right style="thick">
        <color indexed="64"/>
      </right>
      <top style="thick">
        <color auto="1"/>
      </top>
      <bottom style="thin">
        <color auto="1"/>
      </bottom>
      <diagonal/>
    </border>
    <border>
      <left style="thick">
        <color indexed="64"/>
      </left>
      <right/>
      <top style="thick">
        <color auto="1"/>
      </top>
      <bottom style="thin">
        <color indexed="64"/>
      </bottom>
      <diagonal/>
    </border>
    <border>
      <left style="thick">
        <color auto="1"/>
      </left>
      <right style="thin">
        <color auto="1"/>
      </right>
      <top style="thick">
        <color auto="1"/>
      </top>
      <bottom style="thin">
        <color auto="1"/>
      </bottom>
      <diagonal/>
    </border>
    <border>
      <left style="thin">
        <color indexed="64"/>
      </left>
      <right style="thin">
        <color auto="1"/>
      </right>
      <top style="thick">
        <color auto="1"/>
      </top>
      <bottom style="thin">
        <color indexed="64"/>
      </bottom>
      <diagonal/>
    </border>
    <border>
      <left style="thin">
        <color indexed="64"/>
      </left>
      <right style="thick">
        <color auto="1"/>
      </right>
      <top style="thick">
        <color auto="1"/>
      </top>
      <bottom style="thin">
        <color indexed="64"/>
      </bottom>
      <diagonal/>
    </border>
    <border>
      <left style="thick">
        <color auto="1"/>
      </left>
      <right/>
      <top/>
      <bottom style="thick">
        <color indexed="64"/>
      </bottom>
      <diagonal/>
    </border>
    <border>
      <left/>
      <right style="thick">
        <color auto="1"/>
      </right>
      <top/>
      <bottom style="thick">
        <color indexed="64"/>
      </bottom>
      <diagonal/>
    </border>
  </borders>
  <cellStyleXfs count="1">
    <xf numFmtId="0" fontId="0" fillId="0" borderId="0"/>
  </cellStyleXfs>
  <cellXfs count="213">
    <xf numFmtId="0" fontId="0" fillId="0" borderId="0" xfId="0"/>
    <xf numFmtId="0" fontId="0" fillId="0" borderId="0" xfId="0" applyAlignment="1">
      <alignment vertical="center"/>
    </xf>
    <xf numFmtId="0" fontId="0" fillId="0" borderId="0" xfId="0" applyAlignment="1">
      <alignment horizontal="center" vertical="center"/>
    </xf>
    <xf numFmtId="0" fontId="1" fillId="0" borderId="0" xfId="0" applyFont="1"/>
    <xf numFmtId="0" fontId="1" fillId="0" borderId="0" xfId="0" applyFont="1" applyAlignment="1">
      <alignment vertical="center"/>
    </xf>
    <xf numFmtId="0" fontId="7" fillId="9" borderId="2" xfId="0" applyFont="1" applyFill="1" applyBorder="1" applyAlignment="1">
      <alignment horizontal="centerContinuous"/>
    </xf>
    <xf numFmtId="0" fontId="7" fillId="9" borderId="13" xfId="0" applyFont="1" applyFill="1" applyBorder="1" applyAlignment="1">
      <alignment horizontal="centerContinuous"/>
    </xf>
    <xf numFmtId="167" fontId="7" fillId="9" borderId="14" xfId="0" applyNumberFormat="1" applyFont="1" applyFill="1" applyBorder="1"/>
    <xf numFmtId="49" fontId="1" fillId="0" borderId="0" xfId="0" applyNumberFormat="1" applyFont="1" applyAlignment="1">
      <alignment horizontal="center" vertical="center"/>
    </xf>
    <xf numFmtId="0" fontId="8" fillId="0" borderId="0" xfId="0" applyFont="1" applyAlignment="1">
      <alignment horizontal="center" vertical="center"/>
    </xf>
    <xf numFmtId="0" fontId="2" fillId="0" borderId="0" xfId="0" applyFont="1" applyAlignment="1">
      <alignment horizontal="right"/>
    </xf>
    <xf numFmtId="0" fontId="5" fillId="0" borderId="0" xfId="0" applyFont="1" applyAlignment="1">
      <alignment horizontal="centerContinuous" vertical="center" wrapText="1"/>
    </xf>
    <xf numFmtId="0" fontId="6" fillId="0" borderId="0" xfId="0" applyFont="1" applyAlignment="1">
      <alignment horizontal="centerContinuous" vertical="center" wrapText="1"/>
    </xf>
    <xf numFmtId="0" fontId="9" fillId="11" borderId="4" xfId="0" applyFont="1" applyFill="1" applyBorder="1" applyAlignment="1">
      <alignment horizontal="centerContinuous" vertical="center" wrapText="1"/>
    </xf>
    <xf numFmtId="0" fontId="6" fillId="12" borderId="2" xfId="0" applyFont="1" applyFill="1" applyBorder="1" applyAlignment="1">
      <alignment horizontal="centerContinuous" vertical="center"/>
    </xf>
    <xf numFmtId="3" fontId="10" fillId="11" borderId="21" xfId="0" applyNumberFormat="1" applyFont="1" applyFill="1" applyBorder="1" applyAlignment="1">
      <alignment horizontal="right" vertical="center"/>
    </xf>
    <xf numFmtId="3" fontId="5" fillId="12" borderId="22" xfId="0" applyNumberFormat="1" applyFont="1" applyFill="1" applyBorder="1" applyAlignment="1">
      <alignment horizontal="right" vertical="center"/>
    </xf>
    <xf numFmtId="4" fontId="3" fillId="10" borderId="9" xfId="0" applyNumberFormat="1" applyFont="1" applyFill="1" applyBorder="1" applyAlignment="1">
      <alignment horizontal="right" vertical="center"/>
    </xf>
    <xf numFmtId="49" fontId="2" fillId="10" borderId="9" xfId="0" applyNumberFormat="1" applyFont="1" applyFill="1" applyBorder="1" applyAlignment="1">
      <alignment horizontal="center" vertical="center"/>
    </xf>
    <xf numFmtId="4" fontId="2" fillId="10" borderId="9" xfId="0" applyNumberFormat="1" applyFont="1" applyFill="1" applyBorder="1" applyAlignment="1">
      <alignment horizontal="right" vertical="center"/>
    </xf>
    <xf numFmtId="9" fontId="2" fillId="10" borderId="9" xfId="0" applyNumberFormat="1" applyFont="1" applyFill="1" applyBorder="1" applyAlignment="1">
      <alignment horizontal="center" vertical="center"/>
    </xf>
    <xf numFmtId="3" fontId="2" fillId="10" borderId="9" xfId="0" applyNumberFormat="1" applyFont="1" applyFill="1" applyBorder="1" applyAlignment="1">
      <alignment horizontal="right"/>
    </xf>
    <xf numFmtId="4" fontId="3" fillId="11" borderId="9" xfId="0" applyNumberFormat="1" applyFont="1" applyFill="1" applyBorder="1" applyAlignment="1">
      <alignment horizontal="right" vertical="center"/>
    </xf>
    <xf numFmtId="49" fontId="2" fillId="11" borderId="9" xfId="0" applyNumberFormat="1" applyFont="1" applyFill="1" applyBorder="1" applyAlignment="1">
      <alignment horizontal="center" vertical="center"/>
    </xf>
    <xf numFmtId="4" fontId="2" fillId="11" borderId="9" xfId="0" applyNumberFormat="1" applyFont="1" applyFill="1" applyBorder="1" applyAlignment="1">
      <alignment horizontal="right" vertical="center"/>
    </xf>
    <xf numFmtId="9" fontId="2" fillId="11" borderId="9" xfId="0" applyNumberFormat="1" applyFont="1" applyFill="1" applyBorder="1" applyAlignment="1">
      <alignment horizontal="center" vertical="center"/>
    </xf>
    <xf numFmtId="3" fontId="2" fillId="11" borderId="9" xfId="0" applyNumberFormat="1" applyFont="1" applyFill="1" applyBorder="1" applyAlignment="1">
      <alignment horizontal="right"/>
    </xf>
    <xf numFmtId="4" fontId="3" fillId="12" borderId="9" xfId="0" applyNumberFormat="1" applyFont="1" applyFill="1" applyBorder="1" applyAlignment="1">
      <alignment horizontal="right" vertical="center"/>
    </xf>
    <xf numFmtId="49" fontId="2" fillId="12" borderId="9" xfId="0" applyNumberFormat="1" applyFont="1" applyFill="1" applyBorder="1" applyAlignment="1">
      <alignment horizontal="center" vertical="center"/>
    </xf>
    <xf numFmtId="4" fontId="2" fillId="12" borderId="9" xfId="0" applyNumberFormat="1" applyFont="1" applyFill="1" applyBorder="1" applyAlignment="1">
      <alignment horizontal="right" vertical="center"/>
    </xf>
    <xf numFmtId="9" fontId="2" fillId="12" borderId="9" xfId="0" applyNumberFormat="1" applyFont="1" applyFill="1" applyBorder="1" applyAlignment="1">
      <alignment horizontal="center" vertical="center"/>
    </xf>
    <xf numFmtId="3" fontId="2" fillId="12" borderId="9" xfId="0" applyNumberFormat="1" applyFont="1" applyFill="1" applyBorder="1" applyAlignment="1">
      <alignment horizontal="right"/>
    </xf>
    <xf numFmtId="4" fontId="3" fillId="13" borderId="9" xfId="0" applyNumberFormat="1" applyFont="1" applyFill="1" applyBorder="1" applyAlignment="1">
      <alignment horizontal="right" vertical="center"/>
    </xf>
    <xf numFmtId="49" fontId="2" fillId="13" borderId="9" xfId="0" applyNumberFormat="1" applyFont="1" applyFill="1" applyBorder="1" applyAlignment="1">
      <alignment horizontal="center" vertical="center"/>
    </xf>
    <xf numFmtId="4" fontId="2" fillId="13" borderId="9" xfId="0" applyNumberFormat="1" applyFont="1" applyFill="1" applyBorder="1" applyAlignment="1">
      <alignment horizontal="right" vertical="center"/>
    </xf>
    <xf numFmtId="9" fontId="2" fillId="13" borderId="9" xfId="0" applyNumberFormat="1" applyFont="1" applyFill="1" applyBorder="1" applyAlignment="1">
      <alignment horizontal="center" vertical="center"/>
    </xf>
    <xf numFmtId="3" fontId="2" fillId="13" borderId="9" xfId="0" applyNumberFormat="1" applyFont="1" applyFill="1" applyBorder="1" applyAlignment="1">
      <alignment horizontal="right"/>
    </xf>
    <xf numFmtId="4" fontId="3" fillId="14" borderId="9" xfId="0" applyNumberFormat="1" applyFont="1" applyFill="1" applyBorder="1" applyAlignment="1">
      <alignment horizontal="right" vertical="center"/>
    </xf>
    <xf numFmtId="49" fontId="2" fillId="14" borderId="9" xfId="0" applyNumberFormat="1" applyFont="1" applyFill="1" applyBorder="1" applyAlignment="1">
      <alignment horizontal="center" vertical="center"/>
    </xf>
    <xf numFmtId="4" fontId="2" fillId="14" borderId="9" xfId="0" applyNumberFormat="1" applyFont="1" applyFill="1" applyBorder="1" applyAlignment="1">
      <alignment horizontal="right" vertical="center"/>
    </xf>
    <xf numFmtId="9" fontId="2" fillId="14" borderId="9" xfId="0" applyNumberFormat="1" applyFont="1" applyFill="1" applyBorder="1" applyAlignment="1">
      <alignment horizontal="center" vertical="center"/>
    </xf>
    <xf numFmtId="3" fontId="2" fillId="14" borderId="9" xfId="0" applyNumberFormat="1" applyFont="1" applyFill="1" applyBorder="1" applyAlignment="1">
      <alignment horizontal="right"/>
    </xf>
    <xf numFmtId="4" fontId="3" fillId="15" borderId="9" xfId="0" applyNumberFormat="1" applyFont="1" applyFill="1" applyBorder="1" applyAlignment="1">
      <alignment horizontal="right" vertical="center"/>
    </xf>
    <xf numFmtId="49" fontId="2" fillId="15" borderId="9" xfId="0" applyNumberFormat="1" applyFont="1" applyFill="1" applyBorder="1" applyAlignment="1">
      <alignment horizontal="center" vertical="center"/>
    </xf>
    <xf numFmtId="4" fontId="2" fillId="15" borderId="9" xfId="0" applyNumberFormat="1" applyFont="1" applyFill="1" applyBorder="1" applyAlignment="1">
      <alignment horizontal="right" vertical="center"/>
    </xf>
    <xf numFmtId="9" fontId="2" fillId="15" borderId="9" xfId="0" applyNumberFormat="1" applyFont="1" applyFill="1" applyBorder="1" applyAlignment="1">
      <alignment horizontal="center" vertical="center"/>
    </xf>
    <xf numFmtId="3" fontId="2" fillId="15" borderId="9" xfId="0" applyNumberFormat="1" applyFont="1" applyFill="1" applyBorder="1" applyAlignment="1">
      <alignment horizontal="right"/>
    </xf>
    <xf numFmtId="0" fontId="9" fillId="11" borderId="24" xfId="0" applyFont="1" applyFill="1" applyBorder="1" applyAlignment="1">
      <alignment horizontal="centerContinuous" vertical="center" wrapText="1"/>
    </xf>
    <xf numFmtId="0" fontId="6" fillId="12" borderId="23" xfId="0" applyFont="1" applyFill="1" applyBorder="1" applyAlignment="1">
      <alignment horizontal="centerContinuous" vertical="center"/>
    </xf>
    <xf numFmtId="0" fontId="9" fillId="13" borderId="26" xfId="0" applyFont="1" applyFill="1" applyBorder="1" applyAlignment="1">
      <alignment horizontal="centerContinuous" vertical="center" wrapText="1"/>
    </xf>
    <xf numFmtId="0" fontId="9" fillId="13" borderId="17" xfId="0" applyFont="1" applyFill="1" applyBorder="1" applyAlignment="1">
      <alignment horizontal="centerContinuous" vertical="center" wrapText="1"/>
    </xf>
    <xf numFmtId="3" fontId="10" fillId="13" borderId="27" xfId="0" applyNumberFormat="1" applyFont="1" applyFill="1" applyBorder="1" applyAlignment="1">
      <alignment horizontal="right" vertical="center"/>
    </xf>
    <xf numFmtId="3" fontId="2" fillId="10" borderId="29" xfId="0" applyNumberFormat="1" applyFont="1" applyFill="1" applyBorder="1" applyAlignment="1">
      <alignment horizontal="right"/>
    </xf>
    <xf numFmtId="3" fontId="2" fillId="11" borderId="29" xfId="0" applyNumberFormat="1" applyFont="1" applyFill="1" applyBorder="1" applyAlignment="1">
      <alignment horizontal="right"/>
    </xf>
    <xf numFmtId="3" fontId="2" fillId="12" borderId="29" xfId="0" applyNumberFormat="1" applyFont="1" applyFill="1" applyBorder="1" applyAlignment="1">
      <alignment horizontal="right"/>
    </xf>
    <xf numFmtId="3" fontId="2" fillId="13" borderId="29" xfId="0" applyNumberFormat="1" applyFont="1" applyFill="1" applyBorder="1" applyAlignment="1">
      <alignment horizontal="right"/>
    </xf>
    <xf numFmtId="3" fontId="2" fillId="14" borderId="29" xfId="0" applyNumberFormat="1" applyFont="1" applyFill="1" applyBorder="1" applyAlignment="1">
      <alignment horizontal="right"/>
    </xf>
    <xf numFmtId="3" fontId="2" fillId="15" borderId="29" xfId="0" applyNumberFormat="1" applyFont="1" applyFill="1" applyBorder="1" applyAlignment="1">
      <alignment horizontal="right"/>
    </xf>
    <xf numFmtId="3" fontId="10" fillId="11" borderId="30" xfId="0" applyNumberFormat="1" applyFont="1" applyFill="1" applyBorder="1" applyAlignment="1">
      <alignment horizontal="right" vertical="center"/>
    </xf>
    <xf numFmtId="3" fontId="5" fillId="12" borderId="31" xfId="0" applyNumberFormat="1" applyFont="1" applyFill="1" applyBorder="1" applyAlignment="1">
      <alignment horizontal="right" vertical="center"/>
    </xf>
    <xf numFmtId="3" fontId="10" fillId="13" borderId="32" xfId="0" applyNumberFormat="1" applyFont="1" applyFill="1" applyBorder="1" applyAlignment="1">
      <alignment horizontal="right" vertical="center"/>
    </xf>
    <xf numFmtId="0" fontId="0" fillId="0" borderId="34" xfId="0" applyBorder="1"/>
    <xf numFmtId="0" fontId="0" fillId="0" borderId="35" xfId="0" applyBorder="1"/>
    <xf numFmtId="0" fontId="3" fillId="0" borderId="34" xfId="0" applyFont="1" applyBorder="1" applyAlignment="1">
      <alignment horizontal="center" vertical="center" wrapText="1"/>
    </xf>
    <xf numFmtId="0" fontId="3" fillId="0" borderId="33" xfId="0" applyFont="1" applyBorder="1" applyAlignment="1">
      <alignment horizontal="right" wrapText="1"/>
    </xf>
    <xf numFmtId="49" fontId="2" fillId="10" borderId="3" xfId="0" applyNumberFormat="1" applyFont="1" applyFill="1" applyBorder="1" applyAlignment="1">
      <alignment horizontal="left" vertical="center" wrapText="1"/>
    </xf>
    <xf numFmtId="0" fontId="2" fillId="10" borderId="9" xfId="0" applyFont="1" applyFill="1" applyBorder="1" applyAlignment="1">
      <alignment horizontal="left" vertical="center" wrapText="1"/>
    </xf>
    <xf numFmtId="0" fontId="2" fillId="12" borderId="3" xfId="0" applyFont="1" applyFill="1" applyBorder="1" applyAlignment="1">
      <alignment horizontal="left" vertical="center" wrapText="1"/>
    </xf>
    <xf numFmtId="0" fontId="2" fillId="12" borderId="9" xfId="0" applyFont="1" applyFill="1" applyBorder="1" applyAlignment="1">
      <alignment horizontal="left" vertical="center" wrapText="1"/>
    </xf>
    <xf numFmtId="0" fontId="2" fillId="13" borderId="3" xfId="0" applyFont="1" applyFill="1" applyBorder="1" applyAlignment="1">
      <alignment horizontal="left" vertical="center" wrapText="1"/>
    </xf>
    <xf numFmtId="0" fontId="2" fillId="13" borderId="9" xfId="0" applyFont="1" applyFill="1" applyBorder="1" applyAlignment="1">
      <alignment horizontal="left" vertical="center" wrapText="1"/>
    </xf>
    <xf numFmtId="0" fontId="2" fillId="14" borderId="3" xfId="0" applyFont="1" applyFill="1" applyBorder="1" applyAlignment="1">
      <alignment horizontal="left" vertical="center" wrapText="1"/>
    </xf>
    <xf numFmtId="0" fontId="2" fillId="14" borderId="9" xfId="0" applyFont="1" applyFill="1" applyBorder="1" applyAlignment="1">
      <alignment horizontal="left" vertical="center" wrapText="1"/>
    </xf>
    <xf numFmtId="49" fontId="2" fillId="15" borderId="3" xfId="0" applyNumberFormat="1" applyFont="1" applyFill="1" applyBorder="1" applyAlignment="1">
      <alignment horizontal="left" vertical="center" wrapText="1"/>
    </xf>
    <xf numFmtId="0" fontId="2" fillId="15" borderId="9" xfId="0" applyFont="1" applyFill="1" applyBorder="1" applyAlignment="1">
      <alignment horizontal="left" vertical="center" wrapText="1"/>
    </xf>
    <xf numFmtId="0" fontId="2" fillId="15" borderId="3" xfId="0" applyFont="1" applyFill="1" applyBorder="1" applyAlignment="1">
      <alignment horizontal="left" vertical="center" wrapText="1"/>
    </xf>
    <xf numFmtId="0" fontId="2" fillId="10" borderId="3" xfId="0" applyFont="1" applyFill="1" applyBorder="1" applyAlignment="1">
      <alignment horizontal="left" vertical="center" wrapText="1"/>
    </xf>
    <xf numFmtId="0" fontId="2" fillId="11" borderId="3" xfId="0" applyFont="1" applyFill="1" applyBorder="1" applyAlignment="1">
      <alignment horizontal="left" vertical="center" wrapText="1"/>
    </xf>
    <xf numFmtId="0" fontId="2" fillId="11" borderId="9" xfId="0" applyFont="1" applyFill="1" applyBorder="1" applyAlignment="1">
      <alignment horizontal="left" vertical="center" wrapText="1"/>
    </xf>
    <xf numFmtId="0" fontId="0" fillId="0" borderId="0" xfId="0" applyFont="1"/>
    <xf numFmtId="1" fontId="11" fillId="3" borderId="5" xfId="0" applyNumberFormat="1" applyFont="1" applyFill="1" applyBorder="1" applyAlignment="1">
      <alignment horizontal="center" vertical="center"/>
    </xf>
    <xf numFmtId="1" fontId="11" fillId="4" borderId="5" xfId="0" applyNumberFormat="1" applyFont="1" applyFill="1" applyBorder="1" applyAlignment="1">
      <alignment horizontal="center" vertical="center"/>
    </xf>
    <xf numFmtId="164" fontId="12" fillId="2" borderId="22" xfId="0" applyNumberFormat="1" applyFont="1" applyFill="1" applyBorder="1" applyAlignment="1">
      <alignment horizontal="right" vertical="center"/>
    </xf>
    <xf numFmtId="167" fontId="11" fillId="4" borderId="11" xfId="0" applyNumberFormat="1" applyFont="1" applyFill="1" applyBorder="1" applyAlignment="1">
      <alignment horizontal="center" vertical="center"/>
    </xf>
    <xf numFmtId="164" fontId="11" fillId="2" borderId="22" xfId="0" applyNumberFormat="1" applyFont="1" applyFill="1" applyBorder="1" applyAlignment="1">
      <alignment horizontal="right" vertical="center"/>
    </xf>
    <xf numFmtId="1" fontId="12" fillId="0" borderId="5" xfId="0" applyNumberFormat="1" applyFont="1" applyFill="1" applyBorder="1" applyAlignment="1">
      <alignment horizontal="center" vertical="center"/>
    </xf>
    <xf numFmtId="0" fontId="12" fillId="0" borderId="0" xfId="0" applyFont="1" applyFill="1" applyAlignment="1">
      <alignment horizontal="left" vertical="center"/>
    </xf>
    <xf numFmtId="0" fontId="12" fillId="0" borderId="0" xfId="0" applyNumberFormat="1" applyFont="1" applyFill="1" applyAlignment="1">
      <alignment horizontal="left" vertical="center"/>
    </xf>
    <xf numFmtId="0" fontId="12" fillId="0" borderId="2" xfId="0" applyNumberFormat="1" applyFont="1" applyFill="1" applyBorder="1" applyAlignment="1">
      <alignment horizontal="left" vertical="center"/>
    </xf>
    <xf numFmtId="0" fontId="12" fillId="0" borderId="9" xfId="0" applyNumberFormat="1" applyFont="1" applyFill="1" applyBorder="1" applyAlignment="1">
      <alignment horizontal="left" vertical="center"/>
    </xf>
    <xf numFmtId="0" fontId="12" fillId="0" borderId="22" xfId="0" applyNumberFormat="1" applyFont="1" applyFill="1" applyBorder="1" applyAlignment="1">
      <alignment horizontal="left" vertical="center"/>
    </xf>
    <xf numFmtId="0" fontId="12" fillId="0" borderId="22" xfId="0" applyNumberFormat="1" applyFont="1" applyFill="1" applyBorder="1" applyAlignment="1" applyProtection="1">
      <alignment horizontal="left" vertical="center"/>
      <protection locked="0"/>
    </xf>
    <xf numFmtId="0" fontId="12" fillId="0" borderId="9" xfId="0" applyNumberFormat="1" applyFont="1" applyFill="1" applyBorder="1" applyAlignment="1">
      <alignment horizontal="left" vertical="center" wrapText="1"/>
    </xf>
    <xf numFmtId="0" fontId="12" fillId="0" borderId="19" xfId="0" applyNumberFormat="1" applyFont="1" applyFill="1" applyBorder="1" applyAlignment="1">
      <alignment horizontal="left" vertical="center"/>
    </xf>
    <xf numFmtId="0" fontId="12" fillId="0" borderId="25" xfId="0" applyNumberFormat="1" applyFont="1" applyFill="1" applyBorder="1" applyAlignment="1">
      <alignment horizontal="left" vertical="center" wrapText="1"/>
    </xf>
    <xf numFmtId="0" fontId="12" fillId="0" borderId="16" xfId="0" applyNumberFormat="1" applyFont="1" applyFill="1" applyBorder="1" applyAlignment="1">
      <alignment horizontal="left" vertical="center" wrapText="1"/>
    </xf>
    <xf numFmtId="0" fontId="12" fillId="0" borderId="16" xfId="0" applyNumberFormat="1" applyFont="1" applyFill="1" applyBorder="1" applyAlignment="1">
      <alignment horizontal="left" vertical="center" wrapText="1"/>
    </xf>
    <xf numFmtId="0" fontId="12" fillId="0" borderId="28" xfId="0" applyNumberFormat="1" applyFont="1" applyFill="1" applyBorder="1" applyAlignment="1">
      <alignment horizontal="left" vertical="center" wrapText="1"/>
    </xf>
    <xf numFmtId="0" fontId="12" fillId="0" borderId="33" xfId="0" applyNumberFormat="1" applyFont="1" applyFill="1" applyBorder="1" applyAlignment="1">
      <alignment horizontal="left" vertical="center"/>
    </xf>
    <xf numFmtId="0" fontId="12" fillId="0" borderId="3" xfId="0" applyNumberFormat="1" applyFont="1" applyFill="1" applyBorder="1" applyAlignment="1">
      <alignment horizontal="left" vertical="center" wrapText="1"/>
    </xf>
    <xf numFmtId="0" fontId="12" fillId="0" borderId="29" xfId="0" applyNumberFormat="1" applyFont="1" applyFill="1" applyBorder="1" applyAlignment="1">
      <alignment horizontal="left" vertical="center"/>
    </xf>
    <xf numFmtId="0" fontId="12" fillId="0" borderId="34" xfId="0" applyNumberFormat="1" applyFont="1" applyFill="1" applyBorder="1" applyAlignment="1">
      <alignment horizontal="left" vertical="center"/>
    </xf>
    <xf numFmtId="0" fontId="12" fillId="6" borderId="2" xfId="0" applyNumberFormat="1" applyFont="1" applyFill="1" applyBorder="1" applyAlignment="1">
      <alignment horizontal="left" vertical="center"/>
    </xf>
    <xf numFmtId="0" fontId="11" fillId="3" borderId="22" xfId="0" applyNumberFormat="1" applyFont="1" applyFill="1" applyBorder="1" applyAlignment="1">
      <alignment horizontal="left" vertical="center"/>
    </xf>
    <xf numFmtId="0" fontId="11" fillId="3" borderId="22" xfId="0" applyNumberFormat="1" applyFont="1" applyFill="1" applyBorder="1" applyAlignment="1" applyProtection="1">
      <alignment horizontal="center" vertical="center"/>
    </xf>
    <xf numFmtId="0" fontId="11" fillId="4" borderId="22" xfId="0" applyNumberFormat="1" applyFont="1" applyFill="1" applyBorder="1" applyAlignment="1">
      <alignment horizontal="left" vertical="center"/>
    </xf>
    <xf numFmtId="0" fontId="11" fillId="4" borderId="22" xfId="0" applyNumberFormat="1" applyFont="1" applyFill="1" applyBorder="1" applyAlignment="1" applyProtection="1">
      <alignment horizontal="center" vertical="center"/>
    </xf>
    <xf numFmtId="0" fontId="11" fillId="4" borderId="22" xfId="0" applyNumberFormat="1" applyFont="1" applyFill="1" applyBorder="1" applyAlignment="1">
      <alignment horizontal="left" vertical="center" wrapText="1"/>
    </xf>
    <xf numFmtId="0" fontId="11" fillId="4" borderId="22" xfId="0" applyNumberFormat="1" applyFont="1" applyFill="1" applyBorder="1" applyAlignment="1" applyProtection="1">
      <alignment horizontal="left" vertical="center"/>
      <protection locked="0"/>
    </xf>
    <xf numFmtId="0" fontId="11" fillId="4" borderId="22" xfId="0" applyNumberFormat="1" applyFont="1" applyFill="1" applyBorder="1" applyAlignment="1" applyProtection="1">
      <alignment horizontal="left" vertical="center" wrapText="1"/>
      <protection locked="0"/>
    </xf>
    <xf numFmtId="0" fontId="12" fillId="6" borderId="2" xfId="0" applyNumberFormat="1" applyFont="1" applyFill="1" applyBorder="1" applyAlignment="1" applyProtection="1">
      <alignment horizontal="left" vertical="center" wrapText="1"/>
      <protection locked="0"/>
    </xf>
    <xf numFmtId="0" fontId="12" fillId="6" borderId="2" xfId="0" applyNumberFormat="1" applyFont="1" applyFill="1" applyBorder="1" applyAlignment="1" applyProtection="1">
      <alignment horizontal="left" vertical="center"/>
      <protection locked="0"/>
    </xf>
    <xf numFmtId="0" fontId="11" fillId="3" borderId="22" xfId="0" applyNumberFormat="1" applyFont="1" applyFill="1" applyBorder="1" applyAlignment="1" applyProtection="1">
      <alignment horizontal="left" vertical="center"/>
      <protection locked="0"/>
    </xf>
    <xf numFmtId="0" fontId="11" fillId="7" borderId="22" xfId="0" applyNumberFormat="1" applyFont="1" applyFill="1" applyBorder="1" applyAlignment="1">
      <alignment horizontal="left" vertical="center"/>
    </xf>
    <xf numFmtId="0" fontId="19" fillId="7" borderId="22" xfId="0" applyNumberFormat="1" applyFont="1" applyFill="1" applyBorder="1" applyAlignment="1" applyProtection="1">
      <alignment horizontal="center" vertical="center" wrapText="1"/>
    </xf>
    <xf numFmtId="0" fontId="18" fillId="7" borderId="22" xfId="0" applyNumberFormat="1" applyFont="1" applyFill="1" applyBorder="1" applyAlignment="1" applyProtection="1">
      <alignment horizontal="center" vertical="center" wrapText="1"/>
    </xf>
    <xf numFmtId="0" fontId="11" fillId="0" borderId="22" xfId="0" applyNumberFormat="1" applyFont="1" applyFill="1" applyBorder="1" applyAlignment="1">
      <alignment horizontal="left" vertical="center"/>
    </xf>
    <xf numFmtId="0" fontId="12" fillId="0" borderId="22" xfId="0" applyNumberFormat="1" applyFont="1" applyFill="1" applyBorder="1" applyAlignment="1">
      <alignment horizontal="left" vertical="center" wrapText="1"/>
    </xf>
    <xf numFmtId="0" fontId="0" fillId="0" borderId="0" xfId="0" applyFill="1"/>
    <xf numFmtId="0" fontId="15" fillId="0" borderId="22" xfId="0" applyNumberFormat="1" applyFont="1" applyFill="1" applyBorder="1" applyAlignment="1">
      <alignment horizontal="left" vertical="center" wrapText="1"/>
    </xf>
    <xf numFmtId="0" fontId="11" fillId="0" borderId="22" xfId="0" applyNumberFormat="1" applyFont="1" applyFill="1" applyBorder="1" applyAlignment="1" applyProtection="1">
      <alignment horizontal="left" vertical="center"/>
      <protection locked="0"/>
    </xf>
    <xf numFmtId="0" fontId="0" fillId="6" borderId="2" xfId="0" applyFill="1" applyBorder="1"/>
    <xf numFmtId="0" fontId="4" fillId="0" borderId="0" xfId="0" applyFont="1" applyAlignment="1">
      <alignment horizontal="left" vertical="center" wrapText="1"/>
    </xf>
    <xf numFmtId="0" fontId="4" fillId="0" borderId="0" xfId="0" applyFont="1" applyAlignment="1">
      <alignment horizontal="center" vertical="center" wrapText="1"/>
    </xf>
    <xf numFmtId="0" fontId="11" fillId="3" borderId="22" xfId="0" applyNumberFormat="1" applyFont="1" applyFill="1" applyBorder="1" applyAlignment="1">
      <alignment horizontal="left" vertical="center" wrapText="1"/>
    </xf>
    <xf numFmtId="0" fontId="14" fillId="0" borderId="22" xfId="0" applyNumberFormat="1" applyFont="1" applyFill="1" applyBorder="1" applyAlignment="1">
      <alignment horizontal="left" vertical="center"/>
    </xf>
    <xf numFmtId="0" fontId="14" fillId="0" borderId="22" xfId="0" applyNumberFormat="1" applyFont="1" applyFill="1" applyBorder="1" applyAlignment="1">
      <alignment horizontal="left" vertical="center" wrapText="1"/>
    </xf>
    <xf numFmtId="0" fontId="11" fillId="3" borderId="22" xfId="0" applyNumberFormat="1" applyFont="1" applyFill="1" applyBorder="1" applyAlignment="1" applyProtection="1">
      <alignment horizontal="left" vertical="center" wrapText="1"/>
      <protection locked="0"/>
    </xf>
    <xf numFmtId="0" fontId="4" fillId="0" borderId="0" xfId="0" applyFont="1" applyBorder="1" applyAlignment="1">
      <alignment horizontal="left" vertical="center" wrapText="1"/>
    </xf>
    <xf numFmtId="0" fontId="13" fillId="4" borderId="22" xfId="0" applyNumberFormat="1" applyFont="1" applyFill="1" applyBorder="1" applyAlignment="1">
      <alignment horizontal="center" vertical="center" wrapText="1"/>
    </xf>
    <xf numFmtId="0" fontId="12" fillId="6" borderId="18" xfId="0" applyFont="1" applyFill="1" applyBorder="1" applyAlignment="1">
      <alignment horizontal="left" vertical="center"/>
    </xf>
    <xf numFmtId="0" fontId="12" fillId="6" borderId="19" xfId="0" applyNumberFormat="1" applyFont="1" applyFill="1" applyBorder="1" applyAlignment="1">
      <alignment horizontal="left" vertical="center"/>
    </xf>
    <xf numFmtId="0" fontId="12" fillId="6" borderId="20" xfId="0" applyNumberFormat="1" applyFont="1" applyFill="1" applyBorder="1" applyAlignment="1">
      <alignment horizontal="left" vertical="center"/>
    </xf>
    <xf numFmtId="1" fontId="11" fillId="0" borderId="5" xfId="0" applyNumberFormat="1" applyFont="1" applyFill="1" applyBorder="1" applyAlignment="1" applyProtection="1">
      <alignment horizontal="center" vertical="center"/>
    </xf>
    <xf numFmtId="0" fontId="11" fillId="0" borderId="6" xfId="0" applyFont="1" applyFill="1" applyBorder="1" applyAlignment="1">
      <alignment horizontal="center" vertical="center" wrapText="1"/>
    </xf>
    <xf numFmtId="1" fontId="12" fillId="6" borderId="8" xfId="0" applyNumberFormat="1" applyFont="1" applyFill="1" applyBorder="1" applyAlignment="1">
      <alignment horizontal="center" vertical="center"/>
    </xf>
    <xf numFmtId="1" fontId="11" fillId="7" borderId="5" xfId="0" applyNumberFormat="1" applyFont="1" applyFill="1" applyBorder="1" applyAlignment="1">
      <alignment horizontal="center" vertical="center"/>
    </xf>
    <xf numFmtId="0" fontId="0" fillId="6" borderId="8" xfId="0" applyFill="1" applyBorder="1" applyAlignment="1">
      <alignment horizontal="center" vertical="center"/>
    </xf>
    <xf numFmtId="0" fontId="11" fillId="4" borderId="5" xfId="0" applyFont="1" applyFill="1" applyBorder="1" applyAlignment="1">
      <alignment horizontal="center" vertical="center"/>
    </xf>
    <xf numFmtId="49" fontId="11" fillId="0" borderId="7" xfId="0" applyNumberFormat="1" applyFont="1" applyFill="1" applyBorder="1" applyAlignment="1">
      <alignment horizontal="center" vertical="center" wrapText="1"/>
    </xf>
    <xf numFmtId="49" fontId="11" fillId="0" borderId="22" xfId="0" applyNumberFormat="1" applyFont="1" applyFill="1" applyBorder="1" applyAlignment="1">
      <alignment horizontal="center" vertical="center" wrapText="1"/>
    </xf>
    <xf numFmtId="49" fontId="11" fillId="3" borderId="22" xfId="0" applyNumberFormat="1" applyFont="1" applyFill="1" applyBorder="1" applyAlignment="1">
      <alignment horizontal="center" vertical="center" wrapText="1"/>
    </xf>
    <xf numFmtId="49" fontId="11" fillId="4" borderId="22" xfId="0" applyNumberFormat="1" applyFont="1" applyFill="1" applyBorder="1" applyAlignment="1">
      <alignment horizontal="center" vertical="center" wrapText="1"/>
    </xf>
    <xf numFmtId="49" fontId="11" fillId="6" borderId="2" xfId="0" applyNumberFormat="1" applyFont="1" applyFill="1" applyBorder="1" applyAlignment="1">
      <alignment horizontal="center" vertical="center" wrapText="1"/>
    </xf>
    <xf numFmtId="49" fontId="11" fillId="7" borderId="22" xfId="0" applyNumberFormat="1" applyFont="1" applyFill="1" applyBorder="1" applyAlignment="1">
      <alignment horizontal="center" vertical="center" wrapText="1"/>
    </xf>
    <xf numFmtId="49" fontId="1" fillId="6" borderId="2" xfId="0" applyNumberFormat="1" applyFont="1" applyFill="1" applyBorder="1" applyAlignment="1">
      <alignment horizontal="center" vertical="center" wrapText="1"/>
    </xf>
    <xf numFmtId="49" fontId="11" fillId="6" borderId="19" xfId="0" applyNumberFormat="1" applyFont="1" applyFill="1" applyBorder="1" applyAlignment="1">
      <alignment horizontal="center" vertical="center" wrapText="1"/>
    </xf>
    <xf numFmtId="49" fontId="11" fillId="0" borderId="0" xfId="0" applyNumberFormat="1" applyFont="1" applyFill="1" applyAlignment="1">
      <alignment horizontal="center" vertical="center" wrapText="1"/>
    </xf>
    <xf numFmtId="49" fontId="1" fillId="0" borderId="0" xfId="0" applyNumberFormat="1" applyFont="1" applyAlignment="1">
      <alignment horizontal="center" vertical="center" wrapText="1"/>
    </xf>
    <xf numFmtId="0" fontId="11" fillId="0" borderId="7" xfId="0" applyNumberFormat="1" applyFont="1" applyFill="1" applyBorder="1" applyAlignment="1">
      <alignment horizontal="center" vertical="center" wrapText="1"/>
    </xf>
    <xf numFmtId="0" fontId="12" fillId="0" borderId="1" xfId="0" applyNumberFormat="1" applyFont="1" applyFill="1" applyBorder="1" applyAlignment="1">
      <alignment horizontal="center" vertical="center"/>
    </xf>
    <xf numFmtId="0" fontId="12" fillId="0" borderId="22" xfId="0" applyNumberFormat="1" applyFont="1" applyFill="1" applyBorder="1" applyAlignment="1">
      <alignment horizontal="center" vertical="center"/>
    </xf>
    <xf numFmtId="0" fontId="11" fillId="3" borderId="22" xfId="0" applyNumberFormat="1" applyFont="1" applyFill="1" applyBorder="1" applyAlignment="1">
      <alignment horizontal="center" vertical="center"/>
    </xf>
    <xf numFmtId="0" fontId="11" fillId="4" borderId="22" xfId="0" applyNumberFormat="1" applyFont="1" applyFill="1" applyBorder="1" applyAlignment="1">
      <alignment horizontal="center" vertical="center"/>
    </xf>
    <xf numFmtId="0" fontId="12" fillId="6" borderId="2" xfId="0" applyNumberFormat="1" applyFont="1" applyFill="1" applyBorder="1" applyAlignment="1">
      <alignment horizontal="center" vertical="center"/>
    </xf>
    <xf numFmtId="0" fontId="12" fillId="0" borderId="22" xfId="0" applyNumberFormat="1" applyFont="1" applyFill="1" applyBorder="1" applyAlignment="1" applyProtection="1">
      <alignment horizontal="center" vertical="center"/>
      <protection locked="0"/>
    </xf>
    <xf numFmtId="0" fontId="11" fillId="3" borderId="22" xfId="0" applyNumberFormat="1" applyFont="1" applyFill="1" applyBorder="1" applyAlignment="1" applyProtection="1">
      <alignment horizontal="center" vertical="center"/>
      <protection locked="0"/>
    </xf>
    <xf numFmtId="0" fontId="11" fillId="4" borderId="22" xfId="0" applyNumberFormat="1" applyFont="1" applyFill="1" applyBorder="1" applyAlignment="1" applyProtection="1">
      <alignment horizontal="center" vertical="center"/>
      <protection locked="0"/>
    </xf>
    <xf numFmtId="0" fontId="12" fillId="6" borderId="2" xfId="0" applyNumberFormat="1" applyFont="1" applyFill="1" applyBorder="1" applyAlignment="1" applyProtection="1">
      <alignment horizontal="center" vertical="center"/>
      <protection locked="0"/>
    </xf>
    <xf numFmtId="0" fontId="11" fillId="7" borderId="22" xfId="0" applyNumberFormat="1" applyFont="1" applyFill="1" applyBorder="1" applyAlignment="1">
      <alignment horizontal="center" vertical="center"/>
    </xf>
    <xf numFmtId="0" fontId="0" fillId="6" borderId="2" xfId="0" applyNumberFormat="1" applyFill="1" applyBorder="1" applyAlignment="1">
      <alignment horizontal="center" vertical="center"/>
    </xf>
    <xf numFmtId="0" fontId="0" fillId="6" borderId="2" xfId="0" applyNumberFormat="1" applyFill="1" applyBorder="1" applyAlignment="1">
      <alignment vertical="center"/>
    </xf>
    <xf numFmtId="164" fontId="12" fillId="2" borderId="2" xfId="0" applyNumberFormat="1" applyFont="1" applyFill="1" applyBorder="1" applyAlignment="1">
      <alignment horizontal="right" vertical="center"/>
    </xf>
    <xf numFmtId="164" fontId="12" fillId="2" borderId="22" xfId="0" applyNumberFormat="1" applyFont="1" applyFill="1" applyBorder="1" applyAlignment="1" applyProtection="1">
      <alignment horizontal="right" vertical="center"/>
    </xf>
    <xf numFmtId="164" fontId="11" fillId="2" borderId="22" xfId="0" applyNumberFormat="1" applyFont="1" applyFill="1" applyBorder="1" applyAlignment="1" applyProtection="1">
      <alignment horizontal="right" vertical="center"/>
    </xf>
    <xf numFmtId="164" fontId="0" fillId="2" borderId="2" xfId="0" applyNumberFormat="1" applyFill="1" applyBorder="1" applyAlignment="1">
      <alignment horizontal="right" vertical="center"/>
    </xf>
    <xf numFmtId="164" fontId="12" fillId="2" borderId="22" xfId="0" applyNumberFormat="1" applyFont="1" applyFill="1" applyBorder="1" applyAlignment="1" applyProtection="1">
      <alignment horizontal="right" vertical="center"/>
      <protection locked="0"/>
    </xf>
    <xf numFmtId="164" fontId="12" fillId="2" borderId="2" xfId="0" applyNumberFormat="1" applyFont="1" applyFill="1" applyBorder="1" applyAlignment="1" applyProtection="1">
      <alignment horizontal="right" vertical="center"/>
      <protection locked="0"/>
    </xf>
    <xf numFmtId="0" fontId="11" fillId="0" borderId="2" xfId="0" applyNumberFormat="1" applyFont="1" applyFill="1" applyBorder="1" applyAlignment="1">
      <alignment horizontal="left" vertical="center"/>
    </xf>
    <xf numFmtId="0" fontId="11" fillId="6" borderId="2" xfId="0" applyNumberFormat="1" applyFont="1" applyFill="1" applyBorder="1" applyAlignment="1">
      <alignment horizontal="left" vertical="center"/>
    </xf>
    <xf numFmtId="0" fontId="1" fillId="6" borderId="2" xfId="0" applyFont="1" applyFill="1" applyBorder="1" applyAlignment="1">
      <alignment horizontal="left" vertical="center"/>
    </xf>
    <xf numFmtId="0" fontId="11" fillId="6" borderId="2" xfId="0" applyNumberFormat="1" applyFont="1" applyFill="1" applyBorder="1" applyAlignment="1" applyProtection="1">
      <alignment horizontal="left" vertical="center"/>
      <protection locked="0"/>
    </xf>
    <xf numFmtId="0" fontId="11" fillId="5" borderId="2" xfId="0" applyNumberFormat="1" applyFont="1" applyFill="1" applyBorder="1" applyAlignment="1">
      <alignment horizontal="center" vertical="center" wrapText="1"/>
    </xf>
    <xf numFmtId="0" fontId="11" fillId="5" borderId="22" xfId="0" applyNumberFormat="1" applyFont="1" applyFill="1" applyBorder="1" applyAlignment="1">
      <alignment horizontal="center" vertical="center" wrapText="1"/>
    </xf>
    <xf numFmtId="0" fontId="13" fillId="5" borderId="22" xfId="0" applyNumberFormat="1" applyFont="1" applyFill="1" applyBorder="1" applyAlignment="1">
      <alignment horizontal="center" vertical="center" wrapText="1"/>
    </xf>
    <xf numFmtId="0" fontId="1" fillId="5" borderId="2" xfId="0" applyFont="1" applyFill="1" applyBorder="1" applyAlignment="1">
      <alignment horizontal="center" vertical="center" wrapText="1"/>
    </xf>
    <xf numFmtId="0" fontId="11" fillId="5" borderId="22" xfId="0" applyNumberFormat="1" applyFont="1" applyFill="1" applyBorder="1" applyAlignment="1" applyProtection="1">
      <alignment horizontal="center" vertical="center" wrapText="1"/>
      <protection locked="0"/>
    </xf>
    <xf numFmtId="0" fontId="11" fillId="5" borderId="2" xfId="0" applyNumberFormat="1" applyFont="1" applyFill="1" applyBorder="1" applyAlignment="1" applyProtection="1">
      <alignment horizontal="center" vertical="center" wrapText="1"/>
      <protection locked="0"/>
    </xf>
    <xf numFmtId="0" fontId="12" fillId="8" borderId="2" xfId="0" applyNumberFormat="1" applyFont="1" applyFill="1" applyBorder="1" applyAlignment="1">
      <alignment horizontal="right" vertical="center"/>
    </xf>
    <xf numFmtId="0" fontId="12" fillId="8" borderId="22" xfId="0" applyNumberFormat="1" applyFont="1" applyFill="1" applyBorder="1" applyAlignment="1">
      <alignment horizontal="right" vertical="center"/>
    </xf>
    <xf numFmtId="0" fontId="11" fillId="8" borderId="22" xfId="0" applyNumberFormat="1" applyFont="1" applyFill="1" applyBorder="1" applyAlignment="1">
      <alignment horizontal="right" vertical="center"/>
    </xf>
    <xf numFmtId="0" fontId="11" fillId="8" borderId="22" xfId="0" applyNumberFormat="1" applyFont="1" applyFill="1" applyBorder="1" applyAlignment="1" applyProtection="1">
      <alignment horizontal="right" vertical="center"/>
    </xf>
    <xf numFmtId="0" fontId="0" fillId="8" borderId="2" xfId="0" applyNumberFormat="1" applyFill="1" applyBorder="1" applyAlignment="1">
      <alignment horizontal="right" vertical="center"/>
    </xf>
    <xf numFmtId="0" fontId="11" fillId="0" borderId="15" xfId="0" applyNumberFormat="1" applyFont="1" applyFill="1" applyBorder="1" applyAlignment="1">
      <alignment horizontal="center" vertical="center" wrapText="1"/>
    </xf>
    <xf numFmtId="167" fontId="11" fillId="0" borderId="10" xfId="0" applyNumberFormat="1" applyFont="1" applyFill="1" applyBorder="1" applyAlignment="1">
      <alignment horizontal="center" vertical="center"/>
    </xf>
    <xf numFmtId="167" fontId="11" fillId="0" borderId="11" xfId="0" applyNumberFormat="1" applyFont="1" applyFill="1" applyBorder="1" applyAlignment="1">
      <alignment horizontal="center" vertical="center"/>
    </xf>
    <xf numFmtId="167" fontId="11" fillId="3" borderId="11" xfId="0" applyNumberFormat="1" applyFont="1" applyFill="1" applyBorder="1" applyAlignment="1">
      <alignment horizontal="center" vertical="center"/>
    </xf>
    <xf numFmtId="167" fontId="11" fillId="4" borderId="11" xfId="0" applyNumberFormat="1" applyFont="1" applyFill="1" applyBorder="1" applyAlignment="1" applyProtection="1">
      <alignment horizontal="center" vertical="center"/>
    </xf>
    <xf numFmtId="167" fontId="11" fillId="6" borderId="10" xfId="0" applyNumberFormat="1" applyFont="1" applyFill="1" applyBorder="1" applyAlignment="1">
      <alignment horizontal="center" vertical="center"/>
    </xf>
    <xf numFmtId="167" fontId="11" fillId="7" borderId="11" xfId="0" applyNumberFormat="1" applyFont="1" applyFill="1" applyBorder="1" applyAlignment="1">
      <alignment horizontal="center" vertical="center"/>
    </xf>
    <xf numFmtId="167" fontId="1" fillId="6" borderId="10" xfId="0" applyNumberFormat="1" applyFont="1" applyFill="1" applyBorder="1" applyAlignment="1">
      <alignment horizontal="center" vertical="center"/>
    </xf>
    <xf numFmtId="0" fontId="0" fillId="0" borderId="0" xfId="0" applyNumberFormat="1" applyFont="1" applyAlignment="1">
      <alignment horizontal="right"/>
    </xf>
    <xf numFmtId="0" fontId="20" fillId="0" borderId="0" xfId="0" applyNumberFormat="1" applyFont="1" applyAlignment="1">
      <alignment horizontal="right" vertical="center" wrapText="1"/>
    </xf>
    <xf numFmtId="0" fontId="21" fillId="0" borderId="0" xfId="0" applyNumberFormat="1" applyFont="1" applyAlignment="1">
      <alignment horizontal="left" vertical="center"/>
    </xf>
    <xf numFmtId="0" fontId="7" fillId="9" borderId="40" xfId="0" applyFont="1" applyFill="1" applyBorder="1" applyAlignment="1">
      <alignment horizontal="centerContinuous" wrapText="1"/>
    </xf>
    <xf numFmtId="0" fontId="7" fillId="9" borderId="38" xfId="0" applyFont="1" applyFill="1" applyBorder="1" applyAlignment="1">
      <alignment horizontal="centerContinuous"/>
    </xf>
    <xf numFmtId="167" fontId="7" fillId="9" borderId="39" xfId="0" applyNumberFormat="1" applyFont="1" applyFill="1" applyBorder="1"/>
    <xf numFmtId="0" fontId="7" fillId="9" borderId="8" xfId="0" applyFont="1" applyFill="1" applyBorder="1" applyAlignment="1">
      <alignment horizontal="centerContinuous" wrapText="1"/>
    </xf>
    <xf numFmtId="168" fontId="7" fillId="9" borderId="2" xfId="0" applyNumberFormat="1" applyFont="1" applyFill="1" applyBorder="1" applyAlignment="1">
      <alignment horizontal="centerContinuous"/>
    </xf>
    <xf numFmtId="167" fontId="7" fillId="9" borderId="10" xfId="0" applyNumberFormat="1" applyFont="1" applyFill="1" applyBorder="1"/>
    <xf numFmtId="169" fontId="7" fillId="9" borderId="10" xfId="0" applyNumberFormat="1" applyFont="1" applyFill="1" applyBorder="1"/>
    <xf numFmtId="0" fontId="7" fillId="9" borderId="12" xfId="0" applyFont="1" applyFill="1" applyBorder="1" applyAlignment="1">
      <alignment horizontal="centerContinuous" wrapText="1"/>
    </xf>
    <xf numFmtId="0" fontId="12" fillId="0" borderId="36" xfId="0" applyFont="1" applyFill="1" applyBorder="1" applyAlignment="1">
      <alignment horizontal="center" vertical="center"/>
    </xf>
    <xf numFmtId="0" fontId="12" fillId="0" borderId="2" xfId="0" applyNumberFormat="1" applyFont="1" applyFill="1" applyBorder="1" applyAlignment="1">
      <alignment horizontal="center" vertical="center"/>
    </xf>
    <xf numFmtId="0" fontId="12" fillId="0" borderId="44" xfId="0" applyFont="1" applyFill="1" applyBorder="1" applyAlignment="1">
      <alignment horizontal="left" vertical="center"/>
    </xf>
    <xf numFmtId="0" fontId="12" fillId="0" borderId="45" xfId="0" applyNumberFormat="1" applyFont="1" applyFill="1" applyBorder="1" applyAlignment="1">
      <alignment horizontal="left" vertical="center"/>
    </xf>
    <xf numFmtId="0" fontId="11" fillId="0" borderId="41" xfId="0" applyFont="1" applyFill="1" applyBorder="1" applyAlignment="1">
      <alignment horizontal="center" vertical="center" wrapText="1"/>
    </xf>
    <xf numFmtId="49" fontId="11" fillId="0" borderId="42" xfId="0" applyNumberFormat="1" applyFont="1" applyFill="1" applyBorder="1" applyAlignment="1">
      <alignment horizontal="center" vertical="center" wrapText="1"/>
    </xf>
    <xf numFmtId="49" fontId="11" fillId="0" borderId="2" xfId="0" applyNumberFormat="1" applyFont="1" applyFill="1" applyBorder="1" applyAlignment="1">
      <alignment horizontal="center" vertical="center" wrapText="1"/>
    </xf>
    <xf numFmtId="49" fontId="11" fillId="0" borderId="19" xfId="0" applyNumberFormat="1" applyFont="1" applyFill="1" applyBorder="1" applyAlignment="1">
      <alignment horizontal="center" vertical="center" wrapText="1"/>
    </xf>
    <xf numFmtId="0" fontId="11" fillId="0" borderId="42" xfId="0" applyNumberFormat="1" applyFont="1" applyFill="1" applyBorder="1" applyAlignment="1">
      <alignment horizontal="center" vertical="center" wrapText="1"/>
    </xf>
    <xf numFmtId="0" fontId="11" fillId="0" borderId="43" xfId="0" applyNumberFormat="1" applyFont="1" applyFill="1" applyBorder="1" applyAlignment="1">
      <alignment horizontal="center" vertical="center" wrapText="1"/>
    </xf>
    <xf numFmtId="167" fontId="11" fillId="0" borderId="37" xfId="0" applyNumberFormat="1" applyFont="1" applyFill="1" applyBorder="1" applyAlignment="1">
      <alignment horizontal="center" vertical="center"/>
    </xf>
  </cellXfs>
  <cellStyles count="1">
    <cellStyle name="Normal" xfId="0" builtinId="0"/>
  </cellStyles>
  <dxfs count="13">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621"/>
  <sheetViews>
    <sheetView showGridLines="0" tabSelected="1" zoomScaleNormal="100" workbookViewId="0">
      <pane ySplit="4" topLeftCell="A5" activePane="bottomLeft" state="frozen"/>
      <selection pane="bottomLeft" activeCell="J99" sqref="J99"/>
    </sheetView>
  </sheetViews>
  <sheetFormatPr defaultColWidth="0" defaultRowHeight="14.4" zeroHeight="1" x14ac:dyDescent="0.3"/>
  <cols>
    <col min="1" max="1" width="10.77734375" style="2" customWidth="1"/>
    <col min="2" max="2" width="10.44140625" style="8" bestFit="1" customWidth="1"/>
    <col min="3" max="3" width="65.77734375" style="1" customWidth="1"/>
    <col min="4" max="4" width="10.77734375" style="2" customWidth="1"/>
    <col min="5" max="7" width="10.77734375" style="1" customWidth="1"/>
    <col min="8" max="8" width="10.77734375" style="2" customWidth="1"/>
    <col min="9" max="9" width="10.77734375" style="4" customWidth="1"/>
    <col min="10" max="10" width="14.77734375" style="1" customWidth="1"/>
    <col min="11" max="11" width="7.77734375" style="1" customWidth="1"/>
    <col min="12" max="12" width="10.109375" style="1" bestFit="1" customWidth="1"/>
    <col min="13" max="13" width="12.77734375" customWidth="1"/>
    <col min="14" max="14" width="5.77734375" customWidth="1"/>
    <col min="15" max="16384" width="8.88671875" hidden="1"/>
  </cols>
  <sheetData>
    <row r="1" spans="1:14" ht="15" customHeight="1" x14ac:dyDescent="0.3">
      <c r="A1" s="122" t="s">
        <v>129</v>
      </c>
      <c r="B1" s="122"/>
      <c r="C1" s="123" t="s">
        <v>76</v>
      </c>
      <c r="D1" s="123"/>
      <c r="E1" s="123"/>
      <c r="F1" s="123"/>
      <c r="G1" s="123"/>
      <c r="H1" s="123"/>
      <c r="I1" s="9"/>
      <c r="J1" s="9"/>
      <c r="K1" s="9"/>
      <c r="L1" s="9"/>
    </row>
    <row r="2" spans="1:14" ht="15" customHeight="1" x14ac:dyDescent="0.3">
      <c r="A2" s="122" t="s">
        <v>128</v>
      </c>
      <c r="B2" s="122"/>
      <c r="C2" s="122"/>
      <c r="D2" s="122"/>
      <c r="E2" s="122"/>
      <c r="F2" s="122"/>
      <c r="G2" s="122"/>
      <c r="H2" s="122"/>
      <c r="I2" s="9"/>
      <c r="J2" s="9"/>
      <c r="K2" s="9"/>
      <c r="L2" s="9"/>
    </row>
    <row r="3" spans="1:14" ht="15" customHeight="1" thickBot="1" x14ac:dyDescent="0.35">
      <c r="A3" s="128" t="s">
        <v>127</v>
      </c>
      <c r="B3" s="128"/>
      <c r="C3" s="128"/>
      <c r="D3" s="128"/>
      <c r="E3" s="128"/>
      <c r="F3" s="128"/>
      <c r="G3" s="128"/>
      <c r="H3" s="128"/>
      <c r="I3" s="9"/>
      <c r="J3" s="9"/>
      <c r="K3" s="9"/>
      <c r="L3" s="9"/>
    </row>
    <row r="4" spans="1:14" ht="15" customHeight="1" thickTop="1" x14ac:dyDescent="0.3">
      <c r="A4" s="134" t="s">
        <v>64</v>
      </c>
      <c r="B4" s="139" t="s">
        <v>63</v>
      </c>
      <c r="C4" s="149" t="s">
        <v>62</v>
      </c>
      <c r="D4" s="149" t="s">
        <v>30</v>
      </c>
      <c r="E4" s="149" t="s">
        <v>61</v>
      </c>
      <c r="F4" s="149" t="s">
        <v>60</v>
      </c>
      <c r="G4" s="149" t="s">
        <v>59</v>
      </c>
      <c r="H4" s="149" t="s">
        <v>65</v>
      </c>
      <c r="I4" s="149" t="s">
        <v>66</v>
      </c>
      <c r="J4" s="149" t="s">
        <v>67</v>
      </c>
      <c r="K4" s="149" t="s">
        <v>58</v>
      </c>
      <c r="L4" s="183" t="s">
        <v>68</v>
      </c>
      <c r="M4" s="87"/>
      <c r="N4" s="87"/>
    </row>
    <row r="5" spans="1:14" s="118" customFormat="1" ht="81" x14ac:dyDescent="0.3">
      <c r="A5" s="133">
        <f>IFERROR(LOOKUP(2,1/(ISNUMBER($A$4:$A$4)),$A$4:$A$4),0)+1</f>
        <v>1</v>
      </c>
      <c r="B5" s="140" t="s">
        <v>22</v>
      </c>
      <c r="C5" s="119" t="s">
        <v>126</v>
      </c>
      <c r="D5" s="150"/>
      <c r="E5" s="88"/>
      <c r="F5" s="88"/>
      <c r="G5" s="88"/>
      <c r="H5" s="162"/>
      <c r="I5" s="168"/>
      <c r="J5" s="172"/>
      <c r="K5" s="178"/>
      <c r="L5" s="184"/>
      <c r="M5" s="87"/>
      <c r="N5" s="87"/>
    </row>
    <row r="6" spans="1:14" ht="15.6" x14ac:dyDescent="0.3">
      <c r="A6" s="85"/>
      <c r="B6" s="140"/>
      <c r="C6" s="90" t="s">
        <v>23</v>
      </c>
      <c r="D6" s="151">
        <v>2</v>
      </c>
      <c r="E6" s="90">
        <f>ROUND(71.625,4)</f>
        <v>71.625</v>
      </c>
      <c r="F6" s="90">
        <v>3</v>
      </c>
      <c r="G6" s="90">
        <v>3</v>
      </c>
      <c r="H6" s="163">
        <f>D6*IF(OR(E6=0,E6="-"),1,E6)*IF(OR(F6=0,F6="-"),1,F6)*IF(OR(G6=0,G6="-"),1,G6)</f>
        <v>1289.25</v>
      </c>
      <c r="I6" s="116" t="s">
        <v>24</v>
      </c>
      <c r="J6" s="173"/>
      <c r="K6" s="179"/>
      <c r="L6" s="185"/>
      <c r="M6" s="87"/>
      <c r="N6" s="87"/>
    </row>
    <row r="7" spans="1:14" ht="15.6" x14ac:dyDescent="0.3">
      <c r="A7" s="85"/>
      <c r="B7" s="140"/>
      <c r="C7" s="90" t="s">
        <v>25</v>
      </c>
      <c r="D7" s="151">
        <v>3</v>
      </c>
      <c r="E7" s="90">
        <f>ROUND(33.375,4)</f>
        <v>33.375</v>
      </c>
      <c r="F7" s="90">
        <v>3</v>
      </c>
      <c r="G7" s="90">
        <v>3</v>
      </c>
      <c r="H7" s="163">
        <f>D7*IF(OR(E7=0,E7="-"),1,E7)*IF(OR(F7=0,F7="-"),1,F7)*IF(OR(G7=0,G7="-"),1,G7)</f>
        <v>901.125</v>
      </c>
      <c r="I7" s="116" t="s">
        <v>24</v>
      </c>
      <c r="J7" s="173"/>
      <c r="K7" s="179"/>
      <c r="L7" s="185"/>
      <c r="M7" s="87"/>
      <c r="N7" s="87"/>
    </row>
    <row r="8" spans="1:14" ht="15.6" x14ac:dyDescent="0.3">
      <c r="A8" s="80"/>
      <c r="B8" s="141"/>
      <c r="C8" s="103"/>
      <c r="D8" s="152"/>
      <c r="E8" s="103"/>
      <c r="F8" s="104" t="s">
        <v>26</v>
      </c>
      <c r="G8" s="104"/>
      <c r="H8" s="164">
        <f>SUM(H6:H7)</f>
        <v>2190.375</v>
      </c>
      <c r="I8" s="103" t="s">
        <v>24</v>
      </c>
      <c r="J8" s="173"/>
      <c r="K8" s="180"/>
      <c r="L8" s="186"/>
      <c r="M8" s="87"/>
      <c r="N8" s="87"/>
    </row>
    <row r="9" spans="1:14" ht="31.2" x14ac:dyDescent="0.3">
      <c r="A9" s="81"/>
      <c r="B9" s="142"/>
      <c r="C9" s="105"/>
      <c r="D9" s="153"/>
      <c r="E9" s="106" t="s">
        <v>27</v>
      </c>
      <c r="F9" s="106"/>
      <c r="G9" s="106"/>
      <c r="H9" s="164">
        <f>ROUND(H8*0.028316846592,3)</f>
        <v>62.024999999999999</v>
      </c>
      <c r="I9" s="107" t="s">
        <v>28</v>
      </c>
      <c r="J9" s="173" t="s">
        <v>111</v>
      </c>
      <c r="K9" s="181">
        <f>IF(B5="4.14.1",IF(J9="Labour Rate 01.04.23",20,IF(J9="Machinery Rate 01.04.23",63,IF(J9="Through Rate 01.04.23",83,0))),"")</f>
        <v>83</v>
      </c>
      <c r="L9" s="187">
        <f>IF(H9*K9&lt;&gt;0,H9*K9,0)</f>
        <v>5148.0749999999998</v>
      </c>
      <c r="M9" s="87"/>
      <c r="N9" s="87"/>
    </row>
    <row r="10" spans="1:14" ht="13.95" customHeight="1" x14ac:dyDescent="0.3">
      <c r="A10" s="135"/>
      <c r="B10" s="143"/>
      <c r="C10" s="102"/>
      <c r="D10" s="154"/>
      <c r="E10" s="102"/>
      <c r="F10" s="102"/>
      <c r="G10" s="102"/>
      <c r="H10" s="162"/>
      <c r="I10" s="169"/>
      <c r="J10" s="172"/>
      <c r="K10" s="178"/>
      <c r="L10" s="188"/>
      <c r="M10" s="87"/>
      <c r="N10" s="87"/>
    </row>
    <row r="11" spans="1:14" s="118" customFormat="1" ht="15.6" x14ac:dyDescent="0.3">
      <c r="A11" s="133">
        <f>IFERROR(LOOKUP(2,1/(ISNUMBER($A$4:$A$10)),$A$4:$A$10),0)+1</f>
        <v>2</v>
      </c>
      <c r="B11" s="140" t="s">
        <v>103</v>
      </c>
      <c r="C11" s="119" t="s">
        <v>125</v>
      </c>
      <c r="D11" s="150"/>
      <c r="E11" s="88"/>
      <c r="F11" s="88"/>
      <c r="G11" s="88"/>
      <c r="H11" s="162"/>
      <c r="I11" s="168"/>
      <c r="J11" s="172"/>
      <c r="K11" s="178"/>
      <c r="L11" s="184"/>
      <c r="M11" s="87"/>
      <c r="N11" s="87"/>
    </row>
    <row r="12" spans="1:14" ht="15.6" x14ac:dyDescent="0.3">
      <c r="A12" s="85"/>
      <c r="B12" s="140"/>
      <c r="C12" s="90"/>
      <c r="D12" s="151">
        <v>1</v>
      </c>
      <c r="E12" s="90">
        <v>150</v>
      </c>
      <c r="F12" s="90">
        <v>1</v>
      </c>
      <c r="G12" s="90">
        <v>1</v>
      </c>
      <c r="H12" s="163">
        <f>D12*IF(OR(E12=0,E12="-"),1,E12)*IF(OR(F12=0,F12="-"),1,F12)*IF(OR(G12=0,G12="-"),1,G12)</f>
        <v>150</v>
      </c>
      <c r="I12" s="116" t="s">
        <v>24</v>
      </c>
      <c r="J12" s="173"/>
      <c r="K12" s="179"/>
      <c r="L12" s="185"/>
      <c r="M12" s="87"/>
      <c r="N12" s="87"/>
    </row>
    <row r="13" spans="1:14" ht="15.6" x14ac:dyDescent="0.3">
      <c r="A13" s="80"/>
      <c r="B13" s="141"/>
      <c r="C13" s="103"/>
      <c r="D13" s="152"/>
      <c r="E13" s="103"/>
      <c r="F13" s="104" t="s">
        <v>26</v>
      </c>
      <c r="G13" s="104"/>
      <c r="H13" s="164">
        <f>SUM(H12:H12)</f>
        <v>150</v>
      </c>
      <c r="I13" s="103" t="s">
        <v>24</v>
      </c>
      <c r="J13" s="173"/>
      <c r="K13" s="180"/>
      <c r="L13" s="186"/>
      <c r="M13" s="87"/>
      <c r="N13" s="87"/>
    </row>
    <row r="14" spans="1:14" ht="15.6" x14ac:dyDescent="0.3">
      <c r="A14" s="81"/>
      <c r="B14" s="142"/>
      <c r="C14" s="105"/>
      <c r="D14" s="153"/>
      <c r="E14" s="106" t="s">
        <v>27</v>
      </c>
      <c r="F14" s="106"/>
      <c r="G14" s="106"/>
      <c r="H14" s="164">
        <f>ROUND(H13*0.028316846592,3)</f>
        <v>4.2480000000000002</v>
      </c>
      <c r="I14" s="107" t="s">
        <v>28</v>
      </c>
      <c r="J14" s="173" t="s">
        <v>121</v>
      </c>
      <c r="K14" s="181">
        <f>IF(B11="2.RM079",IF(J14="Rate 01.04.23",18,0),"")</f>
        <v>18</v>
      </c>
      <c r="L14" s="187">
        <f>IF(H14*K14&lt;&gt;0,H14*K14,0)</f>
        <v>76.463999999999999</v>
      </c>
      <c r="M14" s="87"/>
      <c r="N14" s="87"/>
    </row>
    <row r="15" spans="1:14" ht="13.95" customHeight="1" x14ac:dyDescent="0.3">
      <c r="A15" s="135"/>
      <c r="B15" s="143"/>
      <c r="C15" s="102"/>
      <c r="D15" s="154"/>
      <c r="E15" s="102"/>
      <c r="F15" s="102"/>
      <c r="G15" s="102"/>
      <c r="H15" s="162"/>
      <c r="I15" s="169"/>
      <c r="J15" s="172"/>
      <c r="K15" s="178"/>
      <c r="L15" s="188"/>
      <c r="M15" s="87"/>
      <c r="N15" s="87"/>
    </row>
    <row r="16" spans="1:14" s="118" customFormat="1" ht="39.6" x14ac:dyDescent="0.3">
      <c r="A16" s="133">
        <f>IFERROR(LOOKUP(2,1/(ISNUMBER($A$4:$A$15)),$A$4:$A$15),0)+1</f>
        <v>3</v>
      </c>
      <c r="B16" s="140" t="s">
        <v>36</v>
      </c>
      <c r="C16" s="119" t="s">
        <v>123</v>
      </c>
      <c r="D16" s="150"/>
      <c r="E16" s="88"/>
      <c r="F16" s="88"/>
      <c r="G16" s="88"/>
      <c r="H16" s="162"/>
      <c r="I16" s="168"/>
      <c r="J16" s="172"/>
      <c r="K16" s="178"/>
      <c r="L16" s="184"/>
      <c r="M16" s="87"/>
      <c r="N16" s="87"/>
    </row>
    <row r="17" spans="1:14" ht="15.6" x14ac:dyDescent="0.3">
      <c r="A17" s="85"/>
      <c r="B17" s="140"/>
      <c r="C17" s="125" t="s">
        <v>37</v>
      </c>
      <c r="D17" s="151">
        <v>1</v>
      </c>
      <c r="E17" s="90">
        <v>150</v>
      </c>
      <c r="F17" s="90">
        <v>1</v>
      </c>
      <c r="G17" s="90">
        <v>1</v>
      </c>
      <c r="H17" s="163">
        <f>D17*IF(OR(E17=0,E17="-"),1,E17)*IF(OR(F17=0,F17="-"),1,F17)*IF(OR(G17=0,G17="-"),1,G17)</f>
        <v>150</v>
      </c>
      <c r="I17" s="116" t="s">
        <v>24</v>
      </c>
      <c r="J17" s="173"/>
      <c r="K17" s="179"/>
      <c r="L17" s="185"/>
      <c r="M17" s="87"/>
      <c r="N17" s="87"/>
    </row>
    <row r="18" spans="1:14" ht="15.6" x14ac:dyDescent="0.3">
      <c r="A18" s="80"/>
      <c r="B18" s="141"/>
      <c r="C18" s="103"/>
      <c r="D18" s="152"/>
      <c r="E18" s="103"/>
      <c r="F18" s="104" t="s">
        <v>26</v>
      </c>
      <c r="G18" s="104"/>
      <c r="H18" s="164">
        <f>SUM(H17:H17)</f>
        <v>150</v>
      </c>
      <c r="I18" s="103" t="s">
        <v>24</v>
      </c>
      <c r="J18" s="173"/>
      <c r="K18" s="180"/>
      <c r="L18" s="186"/>
      <c r="M18" s="87"/>
      <c r="N18" s="87"/>
    </row>
    <row r="19" spans="1:14" ht="15.6" x14ac:dyDescent="0.3">
      <c r="A19" s="81"/>
      <c r="B19" s="142"/>
      <c r="C19" s="105"/>
      <c r="D19" s="153"/>
      <c r="E19" s="106" t="s">
        <v>27</v>
      </c>
      <c r="F19" s="106"/>
      <c r="G19" s="106"/>
      <c r="H19" s="164">
        <f>ROUND(H18*0.028316846592,3)</f>
        <v>4.2480000000000002</v>
      </c>
      <c r="I19" s="107" t="s">
        <v>28</v>
      </c>
      <c r="J19" s="173" t="s">
        <v>124</v>
      </c>
      <c r="K19" s="181">
        <f>IF(B16="3.1.2",IF(J19="1km 01.04.23",53,IF(J19="2km 01.04.23",60,IF(J19="3km 01.04.23",68,IF(J19="4km 01.04.23",75,IF(J19="5km 01.04.23",83,IF(J19="Beyond 5km up to 10km per KM 01.04.23",6,IF(J19="Beyond 10km up to 20km per KM 01.04.23",5,IF(J19="Beyond 20km per adl. KM 01.04.23",4,0)))))))),"")</f>
        <v>83</v>
      </c>
      <c r="L19" s="187">
        <f>IF(H19*K19&lt;&gt;0,H19*K19,0)</f>
        <v>352.584</v>
      </c>
      <c r="M19" s="87"/>
      <c r="N19" s="87"/>
    </row>
    <row r="20" spans="1:14" ht="13.95" customHeight="1" x14ac:dyDescent="0.3">
      <c r="A20" s="135"/>
      <c r="B20" s="143"/>
      <c r="C20" s="102"/>
      <c r="D20" s="154"/>
      <c r="E20" s="102"/>
      <c r="F20" s="102"/>
      <c r="G20" s="102"/>
      <c r="H20" s="162"/>
      <c r="I20" s="169"/>
      <c r="J20" s="172"/>
      <c r="K20" s="178"/>
      <c r="L20" s="188"/>
      <c r="M20" s="87"/>
      <c r="N20" s="87"/>
    </row>
    <row r="21" spans="1:14" s="118" customFormat="1" ht="39.6" x14ac:dyDescent="0.3">
      <c r="A21" s="133">
        <f>IFERROR(LOOKUP(2,1/(ISNUMBER($A$4:$A$20)),$A$4:$A$20),0)+1</f>
        <v>4</v>
      </c>
      <c r="B21" s="140" t="s">
        <v>36</v>
      </c>
      <c r="C21" s="119" t="s">
        <v>123</v>
      </c>
      <c r="D21" s="150"/>
      <c r="E21" s="88"/>
      <c r="F21" s="88"/>
      <c r="G21" s="88"/>
      <c r="H21" s="162"/>
      <c r="I21" s="168"/>
      <c r="J21" s="172"/>
      <c r="K21" s="178"/>
      <c r="L21" s="184"/>
      <c r="M21" s="87"/>
      <c r="N21" s="87"/>
    </row>
    <row r="22" spans="1:14" ht="15.6" x14ac:dyDescent="0.3">
      <c r="A22" s="85"/>
      <c r="B22" s="140"/>
      <c r="C22" s="125" t="s">
        <v>38</v>
      </c>
      <c r="D22" s="151">
        <v>3</v>
      </c>
      <c r="E22" s="90">
        <v>150</v>
      </c>
      <c r="F22" s="90">
        <v>1</v>
      </c>
      <c r="G22" s="90">
        <v>1</v>
      </c>
      <c r="H22" s="163">
        <f>D22*IF(OR(E22=0,E22="-"),1,E22)*IF(OR(F22=0,F22="-"),1,F22)*IF(OR(G22=0,G22="-"),1,G22)</f>
        <v>450</v>
      </c>
      <c r="I22" s="116" t="s">
        <v>24</v>
      </c>
      <c r="J22" s="173"/>
      <c r="K22" s="179"/>
      <c r="L22" s="185"/>
      <c r="M22" s="87"/>
      <c r="N22" s="87"/>
    </row>
    <row r="23" spans="1:14" ht="15.6" x14ac:dyDescent="0.3">
      <c r="A23" s="80"/>
      <c r="B23" s="141"/>
      <c r="C23" s="103"/>
      <c r="D23" s="152"/>
      <c r="E23" s="103"/>
      <c r="F23" s="104" t="s">
        <v>26</v>
      </c>
      <c r="G23" s="104"/>
      <c r="H23" s="164">
        <f>SUM(H22:H22)</f>
        <v>450</v>
      </c>
      <c r="I23" s="103" t="s">
        <v>24</v>
      </c>
      <c r="J23" s="173"/>
      <c r="K23" s="180"/>
      <c r="L23" s="186"/>
      <c r="M23" s="87"/>
      <c r="N23" s="87"/>
    </row>
    <row r="24" spans="1:14" ht="62.4" x14ac:dyDescent="0.3">
      <c r="A24" s="81"/>
      <c r="B24" s="142"/>
      <c r="C24" s="105"/>
      <c r="D24" s="153"/>
      <c r="E24" s="106" t="s">
        <v>27</v>
      </c>
      <c r="F24" s="106"/>
      <c r="G24" s="106"/>
      <c r="H24" s="164">
        <f>ROUND(H23*0.028316846592,3)</f>
        <v>12.743</v>
      </c>
      <c r="I24" s="107" t="s">
        <v>28</v>
      </c>
      <c r="J24" s="173" t="s">
        <v>122</v>
      </c>
      <c r="K24" s="181">
        <f>IF(B21="3.1.2",IF(J24="1km 01.04.23",53,IF(J24="2km 01.04.23",60,IF(J24="3km 01.04.23",68,IF(J24="4km 01.04.23",75,IF(J24="5km 01.04.23",83,IF(J24="Beyond 5km up to 10km per KM 01.04.23",6,IF(J24="Beyond 10km up to 20km per KM 01.04.23",5,IF(J24="Beyond 20km per adl. KM 01.04.23",4,0)))))))),"")</f>
        <v>6</v>
      </c>
      <c r="L24" s="187">
        <f>IF(H24*K24&lt;&gt;0,H24*K24,0)</f>
        <v>76.457999999999998</v>
      </c>
      <c r="M24" s="87"/>
      <c r="N24" s="87"/>
    </row>
    <row r="25" spans="1:14" ht="13.95" customHeight="1" x14ac:dyDescent="0.3">
      <c r="A25" s="135"/>
      <c r="B25" s="143"/>
      <c r="C25" s="102"/>
      <c r="D25" s="154"/>
      <c r="E25" s="102"/>
      <c r="F25" s="102"/>
      <c r="G25" s="102"/>
      <c r="H25" s="162"/>
      <c r="I25" s="169"/>
      <c r="J25" s="172"/>
      <c r="K25" s="178"/>
      <c r="L25" s="188"/>
      <c r="M25" s="87"/>
      <c r="N25" s="87"/>
    </row>
    <row r="26" spans="1:14" s="118" customFormat="1" ht="150" x14ac:dyDescent="0.3">
      <c r="A26" s="133">
        <f>IFERROR(LOOKUP(2,1/(ISNUMBER($A$4:$A$25)),$A$4:$A$25),0)+1</f>
        <v>5</v>
      </c>
      <c r="B26" s="140" t="s">
        <v>100</v>
      </c>
      <c r="C26" s="119" t="s">
        <v>120</v>
      </c>
      <c r="D26" s="150"/>
      <c r="E26" s="88"/>
      <c r="F26" s="88"/>
      <c r="G26" s="88"/>
      <c r="H26" s="162"/>
      <c r="I26" s="168"/>
      <c r="J26" s="172"/>
      <c r="K26" s="178"/>
      <c r="L26" s="184"/>
      <c r="M26" s="87"/>
      <c r="N26" s="87"/>
    </row>
    <row r="27" spans="1:14" ht="15.6" x14ac:dyDescent="0.3">
      <c r="A27" s="85"/>
      <c r="B27" s="140"/>
      <c r="C27" s="90" t="s">
        <v>101</v>
      </c>
      <c r="D27" s="151">
        <v>1</v>
      </c>
      <c r="E27" s="90">
        <v>40</v>
      </c>
      <c r="F27" s="90"/>
      <c r="G27" s="90"/>
      <c r="H27" s="163">
        <f>D27*IF(OR(E27=0,E27="-"),1,E27)*IF(OR(F27=0,F27="-"),1,F27)*IF(OR(G27=0,G27="-"),1,G27)</f>
        <v>40</v>
      </c>
      <c r="I27" s="116" t="s">
        <v>5</v>
      </c>
      <c r="J27" s="173"/>
      <c r="K27" s="179"/>
      <c r="L27" s="185"/>
      <c r="M27" s="87"/>
      <c r="N27" s="87"/>
    </row>
    <row r="28" spans="1:14" ht="15.6" x14ac:dyDescent="0.3">
      <c r="A28" s="80"/>
      <c r="B28" s="141"/>
      <c r="C28" s="103"/>
      <c r="D28" s="152"/>
      <c r="E28" s="103"/>
      <c r="F28" s="104" t="s">
        <v>110</v>
      </c>
      <c r="G28" s="104"/>
      <c r="H28" s="164">
        <f>SUM(H27:H27)</f>
        <v>40</v>
      </c>
      <c r="I28" s="103" t="s">
        <v>5</v>
      </c>
      <c r="J28" s="173"/>
      <c r="K28" s="180"/>
      <c r="L28" s="186"/>
      <c r="M28" s="87"/>
      <c r="N28" s="87"/>
    </row>
    <row r="29" spans="1:14" ht="31.2" x14ac:dyDescent="0.3">
      <c r="A29" s="81"/>
      <c r="B29" s="142"/>
      <c r="C29" s="105"/>
      <c r="D29" s="153"/>
      <c r="E29" s="106" t="s">
        <v>102</v>
      </c>
      <c r="F29" s="106"/>
      <c r="G29" s="106"/>
      <c r="H29" s="164">
        <f>ROUND(H28*1,3)</f>
        <v>40</v>
      </c>
      <c r="I29" s="107" t="s">
        <v>55</v>
      </c>
      <c r="J29" s="173" t="s">
        <v>116</v>
      </c>
      <c r="K29" s="181">
        <f>IF(B26="6.34.6",IF(J29="Labour Rate 01.04.23",2,IF(J29="Material Rate 01.04.23",59,IF(J29="Through Rate 01.04.23",61,IF(J29="Labour Rate 13.06.24",6,IF(J29="Material Rate 13.06.24",62,IF(J29="Through Rate 13.06.24",68,0)))))),"")</f>
        <v>68</v>
      </c>
      <c r="L29" s="187">
        <f>IF(H29*K29&lt;&gt;0,H29*K29,0)</f>
        <v>2720</v>
      </c>
      <c r="M29" s="87"/>
      <c r="N29" s="87"/>
    </row>
    <row r="30" spans="1:14" ht="13.95" customHeight="1" x14ac:dyDescent="0.3">
      <c r="A30" s="135"/>
      <c r="B30" s="143"/>
      <c r="C30" s="102"/>
      <c r="D30" s="154"/>
      <c r="E30" s="102"/>
      <c r="F30" s="102"/>
      <c r="G30" s="102"/>
      <c r="H30" s="162"/>
      <c r="I30" s="169"/>
      <c r="J30" s="172"/>
      <c r="K30" s="178"/>
      <c r="L30" s="188"/>
      <c r="M30" s="87"/>
      <c r="N30" s="87"/>
    </row>
    <row r="31" spans="1:14" s="118" customFormat="1" ht="163.80000000000001" x14ac:dyDescent="0.3">
      <c r="A31" s="133">
        <f>IFERROR(LOOKUP(2,1/(ISNUMBER($A$4:$A$30)),$A$4:$A$30),0)+1</f>
        <v>6</v>
      </c>
      <c r="B31" s="140" t="s">
        <v>0</v>
      </c>
      <c r="C31" s="119" t="s">
        <v>119</v>
      </c>
      <c r="D31" s="150"/>
      <c r="E31" s="88"/>
      <c r="F31" s="88"/>
      <c r="G31" s="88"/>
      <c r="H31" s="162"/>
      <c r="I31" s="168"/>
      <c r="J31" s="172"/>
      <c r="K31" s="178"/>
      <c r="L31" s="184"/>
      <c r="M31" s="87"/>
      <c r="N31" s="87"/>
    </row>
    <row r="32" spans="1:14" ht="15.6" x14ac:dyDescent="0.3">
      <c r="A32" s="85"/>
      <c r="B32" s="140"/>
      <c r="C32" s="90" t="s">
        <v>1</v>
      </c>
      <c r="D32" s="151"/>
      <c r="E32" s="90"/>
      <c r="F32" s="90"/>
      <c r="G32" s="90"/>
      <c r="H32" s="82"/>
      <c r="I32" s="116"/>
      <c r="J32" s="173"/>
      <c r="K32" s="179"/>
      <c r="L32" s="185"/>
      <c r="M32" s="87"/>
      <c r="N32" s="87"/>
    </row>
    <row r="33" spans="1:14" ht="15.6" x14ac:dyDescent="0.3">
      <c r="A33" s="85"/>
      <c r="B33" s="140"/>
      <c r="C33" s="125" t="s">
        <v>2</v>
      </c>
      <c r="D33" s="151"/>
      <c r="E33" s="90"/>
      <c r="F33" s="90"/>
      <c r="G33" s="90"/>
      <c r="H33" s="82"/>
      <c r="I33" s="116"/>
      <c r="J33" s="173"/>
      <c r="K33" s="179"/>
      <c r="L33" s="185"/>
      <c r="M33" s="87"/>
      <c r="N33" s="87"/>
    </row>
    <row r="34" spans="1:14" ht="15.6" x14ac:dyDescent="0.3">
      <c r="A34" s="85"/>
      <c r="B34" s="140"/>
      <c r="C34" s="90"/>
      <c r="D34" s="151">
        <v>10</v>
      </c>
      <c r="E34" s="90">
        <v>4</v>
      </c>
      <c r="F34" s="90">
        <v>6</v>
      </c>
      <c r="G34" s="90"/>
      <c r="H34" s="163">
        <f>D34*IF(OR(E34=0,E34="-"),1,E34)*IF(OR(F34=0,F34="-"),1,F34)*IF(OR(G34=0,G34="-"),1,G34)</f>
        <v>240</v>
      </c>
      <c r="I34" s="116" t="s">
        <v>3</v>
      </c>
      <c r="J34" s="173"/>
      <c r="K34" s="179"/>
      <c r="L34" s="185"/>
      <c r="M34" s="87"/>
      <c r="N34" s="87"/>
    </row>
    <row r="35" spans="1:14" ht="15.6" x14ac:dyDescent="0.3">
      <c r="A35" s="80"/>
      <c r="B35" s="141"/>
      <c r="C35" s="103"/>
      <c r="D35" s="152"/>
      <c r="E35" s="103"/>
      <c r="F35" s="104" t="s">
        <v>4</v>
      </c>
      <c r="G35" s="104"/>
      <c r="H35" s="164">
        <f>SUM(H34:H34)</f>
        <v>240</v>
      </c>
      <c r="I35" s="103" t="s">
        <v>3</v>
      </c>
      <c r="J35" s="173"/>
      <c r="K35" s="180"/>
      <c r="L35" s="186"/>
      <c r="M35" s="87"/>
      <c r="N35" s="87"/>
    </row>
    <row r="36" spans="1:14" ht="15.6" x14ac:dyDescent="0.3">
      <c r="A36" s="81"/>
      <c r="B36" s="142"/>
      <c r="C36" s="105"/>
      <c r="D36" s="153"/>
      <c r="E36" s="106" t="s">
        <v>44</v>
      </c>
      <c r="F36" s="106"/>
      <c r="G36" s="106"/>
      <c r="H36" s="164">
        <f>ROUND(H35*0.3048,3)</f>
        <v>73.152000000000001</v>
      </c>
      <c r="I36" s="105" t="s">
        <v>43</v>
      </c>
      <c r="J36" s="173"/>
      <c r="K36" s="180"/>
      <c r="L36" s="83"/>
      <c r="M36" s="87"/>
      <c r="N36" s="87"/>
    </row>
    <row r="37" spans="1:14" ht="31.05" customHeight="1" x14ac:dyDescent="0.3">
      <c r="A37" s="136"/>
      <c r="B37" s="144"/>
      <c r="C37" s="113"/>
      <c r="D37" s="159"/>
      <c r="E37" s="115" t="s">
        <v>51</v>
      </c>
      <c r="F37" s="115"/>
      <c r="G37" s="115"/>
      <c r="H37" s="164">
        <f>ROUND((H36*12^2)/162,3)</f>
        <v>65.024000000000001</v>
      </c>
      <c r="I37" s="113" t="s">
        <v>5</v>
      </c>
      <c r="J37" s="174" t="s">
        <v>6</v>
      </c>
      <c r="K37" s="180"/>
      <c r="L37" s="189"/>
      <c r="M37" s="87"/>
      <c r="N37" s="87"/>
    </row>
    <row r="38" spans="1:14" ht="13.95" customHeight="1" x14ac:dyDescent="0.3">
      <c r="A38" s="135"/>
      <c r="B38" s="143"/>
      <c r="C38" s="102"/>
      <c r="D38" s="154"/>
      <c r="E38" s="102"/>
      <c r="F38" s="102"/>
      <c r="G38" s="102"/>
      <c r="H38" s="162"/>
      <c r="I38" s="169"/>
      <c r="J38" s="172"/>
      <c r="K38" s="178"/>
      <c r="L38" s="188"/>
      <c r="M38" s="87"/>
      <c r="N38" s="87"/>
    </row>
    <row r="39" spans="1:14" ht="15.6" x14ac:dyDescent="0.3">
      <c r="A39" s="85"/>
      <c r="B39" s="140"/>
      <c r="C39" s="125" t="s">
        <v>7</v>
      </c>
      <c r="D39" s="151"/>
      <c r="E39" s="90"/>
      <c r="F39" s="90"/>
      <c r="G39" s="90"/>
      <c r="H39" s="82"/>
      <c r="I39" s="116"/>
      <c r="J39" s="173"/>
      <c r="K39" s="179"/>
      <c r="L39" s="185"/>
      <c r="M39" s="87"/>
      <c r="N39" s="87"/>
    </row>
    <row r="40" spans="1:14" ht="15.6" x14ac:dyDescent="0.3">
      <c r="A40" s="85"/>
      <c r="B40" s="140"/>
      <c r="C40" s="90" t="s">
        <v>8</v>
      </c>
      <c r="D40" s="151">
        <v>120</v>
      </c>
      <c r="E40" s="90">
        <f>ROUND(5.41666666666667,4)</f>
        <v>5.4166999999999996</v>
      </c>
      <c r="F40" s="90"/>
      <c r="G40" s="90"/>
      <c r="H40" s="163">
        <f>D40*IF(OR(E40=0,E40="-"),1,E40)*IF(OR(F40=0,F40="-"),1,F40)*IF(OR(G40=0,G40="-"),1,G40)</f>
        <v>650.00399999999991</v>
      </c>
      <c r="I40" s="116" t="s">
        <v>3</v>
      </c>
      <c r="J40" s="173"/>
      <c r="K40" s="179"/>
      <c r="L40" s="185"/>
      <c r="M40" s="87"/>
      <c r="N40" s="87"/>
    </row>
    <row r="41" spans="1:14" ht="15.6" x14ac:dyDescent="0.3">
      <c r="A41" s="80"/>
      <c r="B41" s="141"/>
      <c r="C41" s="103"/>
      <c r="D41" s="152"/>
      <c r="E41" s="103"/>
      <c r="F41" s="104" t="s">
        <v>4</v>
      </c>
      <c r="G41" s="104"/>
      <c r="H41" s="164">
        <f>SUM(H40:H40)</f>
        <v>650.00399999999991</v>
      </c>
      <c r="I41" s="103" t="s">
        <v>3</v>
      </c>
      <c r="J41" s="173"/>
      <c r="K41" s="180"/>
      <c r="L41" s="186"/>
      <c r="M41" s="87"/>
      <c r="N41" s="87"/>
    </row>
    <row r="42" spans="1:14" ht="15.6" x14ac:dyDescent="0.3">
      <c r="A42" s="81"/>
      <c r="B42" s="142"/>
      <c r="C42" s="105"/>
      <c r="D42" s="153"/>
      <c r="E42" s="106" t="s">
        <v>44</v>
      </c>
      <c r="F42" s="106"/>
      <c r="G42" s="106"/>
      <c r="H42" s="164">
        <f>ROUND(H41*0.3048,3)</f>
        <v>198.12100000000001</v>
      </c>
      <c r="I42" s="105" t="s">
        <v>43</v>
      </c>
      <c r="J42" s="173"/>
      <c r="K42" s="180"/>
      <c r="L42" s="83"/>
      <c r="M42" s="87"/>
      <c r="N42" s="87"/>
    </row>
    <row r="43" spans="1:14" ht="31.05" customHeight="1" x14ac:dyDescent="0.3">
      <c r="A43" s="136"/>
      <c r="B43" s="144"/>
      <c r="C43" s="113"/>
      <c r="D43" s="159"/>
      <c r="E43" s="115" t="s">
        <v>50</v>
      </c>
      <c r="F43" s="115"/>
      <c r="G43" s="115"/>
      <c r="H43" s="164">
        <f>ROUND((H42*8^2)/162,3)</f>
        <v>78.27</v>
      </c>
      <c r="I43" s="113" t="s">
        <v>5</v>
      </c>
      <c r="J43" s="174" t="s">
        <v>9</v>
      </c>
      <c r="K43" s="180"/>
      <c r="L43" s="189"/>
      <c r="M43" s="87"/>
      <c r="N43" s="87"/>
    </row>
    <row r="44" spans="1:14" ht="13.95" customHeight="1" x14ac:dyDescent="0.3">
      <c r="A44" s="137"/>
      <c r="B44" s="145"/>
      <c r="C44" s="121"/>
      <c r="D44" s="160"/>
      <c r="E44" s="161"/>
      <c r="F44" s="161"/>
      <c r="G44" s="161"/>
      <c r="H44" s="165"/>
      <c r="I44" s="170"/>
      <c r="J44" s="175"/>
      <c r="K44" s="182"/>
      <c r="L44" s="190"/>
      <c r="M44" s="87"/>
      <c r="N44" s="87"/>
    </row>
    <row r="45" spans="1:14" ht="31.2" x14ac:dyDescent="0.3">
      <c r="A45" s="81"/>
      <c r="B45" s="142"/>
      <c r="C45" s="105"/>
      <c r="D45" s="153"/>
      <c r="E45" s="129" t="s">
        <v>10</v>
      </c>
      <c r="F45" s="129"/>
      <c r="G45" s="129"/>
      <c r="H45" s="84">
        <f>ROUND(SUM(H37,H43),3)</f>
        <v>143.29400000000001</v>
      </c>
      <c r="I45" s="107" t="s">
        <v>55</v>
      </c>
      <c r="J45" s="173" t="s">
        <v>116</v>
      </c>
      <c r="K45" s="181">
        <f>IF(B31="6.33.6",IF(J45="Labour Rate 01.04.23",2,IF(J45="Material Rate 01.04.23",59,IF(J45="Through Rate 01.04.23",61,IF(J45="Labour Rate 13.06.24",7,IF(J45="Material Rate 13.06.24",59,IF(J45="Through Rate 13.06.24",66,0)))))),"")</f>
        <v>66</v>
      </c>
      <c r="L45" s="187">
        <f>IF(H45*K45&lt;&gt;0,H45*K45,0)</f>
        <v>9457.4040000000005</v>
      </c>
      <c r="M45" s="87"/>
      <c r="N45" s="87"/>
    </row>
    <row r="46" spans="1:14" ht="13.95" customHeight="1" x14ac:dyDescent="0.3">
      <c r="A46" s="137"/>
      <c r="B46" s="145"/>
      <c r="C46" s="121"/>
      <c r="D46" s="160"/>
      <c r="E46" s="161"/>
      <c r="F46" s="161"/>
      <c r="G46" s="161"/>
      <c r="H46" s="165"/>
      <c r="I46" s="170"/>
      <c r="J46" s="175"/>
      <c r="K46" s="182"/>
      <c r="L46" s="190"/>
      <c r="M46" s="87"/>
      <c r="N46" s="87"/>
    </row>
    <row r="47" spans="1:14" s="118" customFormat="1" ht="41.4" x14ac:dyDescent="0.3">
      <c r="A47" s="133">
        <f>IFERROR(LOOKUP(2,1/(ISNUMBER($A$4:$A$46)),$A$4:$A$46),0)+1</f>
        <v>7</v>
      </c>
      <c r="B47" s="140" t="s">
        <v>57</v>
      </c>
      <c r="C47" s="119" t="s">
        <v>118</v>
      </c>
      <c r="D47" s="150"/>
      <c r="E47" s="88"/>
      <c r="F47" s="88"/>
      <c r="G47" s="88"/>
      <c r="H47" s="162"/>
      <c r="I47" s="168"/>
      <c r="J47" s="172"/>
      <c r="K47" s="178"/>
      <c r="L47" s="184"/>
      <c r="M47" s="87"/>
      <c r="N47" s="87"/>
    </row>
    <row r="48" spans="1:14" ht="15.6" x14ac:dyDescent="0.3">
      <c r="A48" s="85"/>
      <c r="B48" s="140"/>
      <c r="C48" s="117" t="s">
        <v>11</v>
      </c>
      <c r="D48" s="155"/>
      <c r="E48" s="91"/>
      <c r="F48" s="91"/>
      <c r="G48" s="91"/>
      <c r="H48" s="166"/>
      <c r="I48" s="120"/>
      <c r="J48" s="173"/>
      <c r="K48" s="179"/>
      <c r="L48" s="185"/>
      <c r="M48" s="87"/>
      <c r="N48" s="87"/>
    </row>
    <row r="49" spans="1:14" ht="15.6" x14ac:dyDescent="0.3">
      <c r="A49" s="85"/>
      <c r="B49" s="140"/>
      <c r="C49" s="126" t="s">
        <v>48</v>
      </c>
      <c r="D49" s="155">
        <v>10</v>
      </c>
      <c r="E49" s="91">
        <v>1</v>
      </c>
      <c r="F49" s="91">
        <v>1</v>
      </c>
      <c r="G49" s="91"/>
      <c r="H49" s="163">
        <f>D49*IF(OR(E49=0,E49="-"),1,E49)*IF(OR(F49=0,F49="-"),1,F49)*IF(OR(G49=0,G49="-"),1,G49)</f>
        <v>10</v>
      </c>
      <c r="I49" s="120" t="s">
        <v>12</v>
      </c>
      <c r="J49" s="173"/>
      <c r="K49" s="179"/>
      <c r="L49" s="185"/>
      <c r="M49" s="87"/>
      <c r="N49" s="87"/>
    </row>
    <row r="50" spans="1:14" ht="15.6" x14ac:dyDescent="0.3">
      <c r="A50" s="85"/>
      <c r="B50" s="140"/>
      <c r="C50" s="117"/>
      <c r="D50" s="155">
        <v>10</v>
      </c>
      <c r="E50" s="91">
        <f>ROUND(0.833,4)</f>
        <v>0.83299999999999996</v>
      </c>
      <c r="F50" s="91">
        <f>ROUND(0.833,4)</f>
        <v>0.83299999999999996</v>
      </c>
      <c r="G50" s="91"/>
      <c r="H50" s="163">
        <f>D50*IF(OR(E50=0,E50="-"),1,E50)*IF(OR(F50=0,F50="-"),1,F50)*IF(OR(G50=0,G50="-"),1,G50)</f>
        <v>6.9388899999999998</v>
      </c>
      <c r="I50" s="120" t="s">
        <v>12</v>
      </c>
      <c r="J50" s="173"/>
      <c r="K50" s="179"/>
      <c r="L50" s="185"/>
      <c r="M50" s="87"/>
      <c r="N50" s="87"/>
    </row>
    <row r="51" spans="1:14" ht="15.6" x14ac:dyDescent="0.3">
      <c r="A51" s="80"/>
      <c r="B51" s="141"/>
      <c r="C51" s="124"/>
      <c r="D51" s="156"/>
      <c r="E51" s="112"/>
      <c r="F51" s="104" t="s">
        <v>13</v>
      </c>
      <c r="G51" s="104"/>
      <c r="H51" s="164">
        <f>SUM(H49:H50)</f>
        <v>16.938890000000001</v>
      </c>
      <c r="I51" s="112" t="s">
        <v>12</v>
      </c>
      <c r="J51" s="173"/>
      <c r="K51" s="180"/>
      <c r="L51" s="186"/>
      <c r="M51" s="87"/>
      <c r="N51" s="87"/>
    </row>
    <row r="52" spans="1:14" ht="15.6" x14ac:dyDescent="0.3">
      <c r="A52" s="81"/>
      <c r="B52" s="142"/>
      <c r="C52" s="107"/>
      <c r="D52" s="157"/>
      <c r="E52" s="106" t="s">
        <v>14</v>
      </c>
      <c r="F52" s="106"/>
      <c r="G52" s="106"/>
      <c r="H52" s="164">
        <f>ROUND(H51*0.09290304,3)</f>
        <v>1.5740000000000001</v>
      </c>
      <c r="I52" s="108" t="s">
        <v>15</v>
      </c>
      <c r="J52" s="173"/>
      <c r="K52" s="180"/>
      <c r="L52" s="83"/>
      <c r="M52" s="87"/>
      <c r="N52" s="87"/>
    </row>
    <row r="53" spans="1:14" ht="31.05" customHeight="1" x14ac:dyDescent="0.3">
      <c r="A53" s="136"/>
      <c r="B53" s="144"/>
      <c r="C53" s="113"/>
      <c r="D53" s="159"/>
      <c r="E53" s="114" t="s">
        <v>49</v>
      </c>
      <c r="F53" s="114"/>
      <c r="G53" s="114"/>
      <c r="H53" s="164">
        <f>ROUND(H52*32.4,3)</f>
        <v>50.997999999999998</v>
      </c>
      <c r="I53" s="113" t="s">
        <v>5</v>
      </c>
      <c r="J53" s="174" t="s">
        <v>6</v>
      </c>
      <c r="K53" s="180"/>
      <c r="L53" s="189"/>
      <c r="M53" s="87"/>
      <c r="N53" s="87"/>
    </row>
    <row r="54" spans="1:14" ht="13.95" customHeight="1" x14ac:dyDescent="0.3">
      <c r="A54" s="137"/>
      <c r="B54" s="145"/>
      <c r="C54" s="121"/>
      <c r="D54" s="160"/>
      <c r="E54" s="161"/>
      <c r="F54" s="161"/>
      <c r="G54" s="161"/>
      <c r="H54" s="165"/>
      <c r="I54" s="170"/>
      <c r="J54" s="175"/>
      <c r="K54" s="182"/>
      <c r="L54" s="190"/>
      <c r="M54" s="87"/>
      <c r="N54" s="87"/>
    </row>
    <row r="55" spans="1:14" ht="31.2" x14ac:dyDescent="0.3">
      <c r="A55" s="81"/>
      <c r="B55" s="142"/>
      <c r="C55" s="105"/>
      <c r="D55" s="153"/>
      <c r="E55" s="129" t="s">
        <v>56</v>
      </c>
      <c r="F55" s="129"/>
      <c r="G55" s="129"/>
      <c r="H55" s="84">
        <f>ROUND(SUM(H53),3)</f>
        <v>50.997999999999998</v>
      </c>
      <c r="I55" s="107" t="s">
        <v>55</v>
      </c>
      <c r="J55" s="173" t="s">
        <v>111</v>
      </c>
      <c r="K55" s="181">
        <f>IF(B47="13.31",IF(J55="Labour Rate 01.04.23",7,IF(J55="Material Rate 01.04.23",59,IF(J55="Through Rate 01.04.23",66,0))),"")</f>
        <v>66</v>
      </c>
      <c r="L55" s="187">
        <f>IF(H55*K55&lt;&gt;0,H55*K55,0)</f>
        <v>3365.8679999999999</v>
      </c>
      <c r="M55" s="87"/>
      <c r="N55" s="87"/>
    </row>
    <row r="56" spans="1:14" ht="13.95" customHeight="1" x14ac:dyDescent="0.3">
      <c r="A56" s="137"/>
      <c r="B56" s="145"/>
      <c r="C56" s="121"/>
      <c r="D56" s="160"/>
      <c r="E56" s="161"/>
      <c r="F56" s="161"/>
      <c r="G56" s="161"/>
      <c r="H56" s="165"/>
      <c r="I56" s="170"/>
      <c r="J56" s="175"/>
      <c r="K56" s="182"/>
      <c r="L56" s="190"/>
      <c r="M56" s="87"/>
      <c r="N56" s="87"/>
    </row>
    <row r="57" spans="1:14" s="118" customFormat="1" ht="81" x14ac:dyDescent="0.3">
      <c r="A57" s="133">
        <f>IFERROR(LOOKUP(2,1/(ISNUMBER($A$4:$A$56)),$A$4:$A$56),0)+1</f>
        <v>8</v>
      </c>
      <c r="B57" s="140" t="s">
        <v>16</v>
      </c>
      <c r="C57" s="119" t="s">
        <v>117</v>
      </c>
      <c r="D57" s="150"/>
      <c r="E57" s="88"/>
      <c r="F57" s="88"/>
      <c r="G57" s="88"/>
      <c r="H57" s="162"/>
      <c r="I57" s="168"/>
      <c r="J57" s="172"/>
      <c r="K57" s="178"/>
      <c r="L57" s="184"/>
      <c r="M57" s="87"/>
      <c r="N57" s="87"/>
    </row>
    <row r="58" spans="1:14" ht="15.6" x14ac:dyDescent="0.3">
      <c r="A58" s="85"/>
      <c r="B58" s="140"/>
      <c r="C58" s="90" t="s">
        <v>17</v>
      </c>
      <c r="D58" s="151"/>
      <c r="E58" s="90"/>
      <c r="F58" s="90"/>
      <c r="G58" s="90"/>
      <c r="H58" s="82"/>
      <c r="I58" s="116"/>
      <c r="J58" s="173"/>
      <c r="K58" s="179"/>
      <c r="L58" s="185"/>
      <c r="M58" s="87"/>
      <c r="N58" s="87"/>
    </row>
    <row r="59" spans="1:14" ht="15.6" x14ac:dyDescent="0.3">
      <c r="A59" s="85"/>
      <c r="B59" s="140"/>
      <c r="C59" s="125" t="s">
        <v>47</v>
      </c>
      <c r="D59" s="151">
        <v>10</v>
      </c>
      <c r="E59" s="90">
        <v>14</v>
      </c>
      <c r="F59" s="90"/>
      <c r="G59" s="90"/>
      <c r="H59" s="163">
        <f>D59*IF(OR(E59=0,E59="-"),1,E59)*IF(OR(F59=0,F59="-"),1,F59)*IF(OR(G59=0,G59="-"),1,G59)</f>
        <v>140</v>
      </c>
      <c r="I59" s="116" t="s">
        <v>3</v>
      </c>
      <c r="J59" s="173"/>
      <c r="K59" s="179"/>
      <c r="L59" s="185"/>
      <c r="M59" s="87"/>
      <c r="N59" s="87"/>
    </row>
    <row r="60" spans="1:14" ht="15.6" x14ac:dyDescent="0.3">
      <c r="A60" s="80"/>
      <c r="B60" s="141"/>
      <c r="C60" s="103"/>
      <c r="D60" s="152"/>
      <c r="E60" s="103"/>
      <c r="F60" s="104" t="s">
        <v>4</v>
      </c>
      <c r="G60" s="104"/>
      <c r="H60" s="164">
        <f>SUM(H59:H59)</f>
        <v>140</v>
      </c>
      <c r="I60" s="103" t="s">
        <v>3</v>
      </c>
      <c r="J60" s="173"/>
      <c r="K60" s="180"/>
      <c r="L60" s="186"/>
      <c r="M60" s="87"/>
      <c r="N60" s="87"/>
    </row>
    <row r="61" spans="1:14" ht="15.6" x14ac:dyDescent="0.3">
      <c r="A61" s="81"/>
      <c r="B61" s="142"/>
      <c r="C61" s="105"/>
      <c r="D61" s="153"/>
      <c r="E61" s="106" t="s">
        <v>44</v>
      </c>
      <c r="F61" s="106"/>
      <c r="G61" s="106"/>
      <c r="H61" s="164">
        <f>ROUND(H60*0.3048,3)</f>
        <v>42.671999999999997</v>
      </c>
      <c r="I61" s="105" t="s">
        <v>43</v>
      </c>
      <c r="J61" s="173"/>
      <c r="K61" s="180"/>
      <c r="L61" s="83"/>
      <c r="M61" s="87"/>
      <c r="N61" s="87"/>
    </row>
    <row r="62" spans="1:14" ht="31.05" customHeight="1" x14ac:dyDescent="0.3">
      <c r="A62" s="136"/>
      <c r="B62" s="144"/>
      <c r="C62" s="113"/>
      <c r="D62" s="159"/>
      <c r="E62" s="114" t="s">
        <v>18</v>
      </c>
      <c r="F62" s="114"/>
      <c r="G62" s="114"/>
      <c r="H62" s="164">
        <f>ROUND(H61*18.361,3)</f>
        <v>783.50099999999998</v>
      </c>
      <c r="I62" s="113" t="s">
        <v>5</v>
      </c>
      <c r="J62" s="174" t="s">
        <v>6</v>
      </c>
      <c r="K62" s="180"/>
      <c r="L62" s="189"/>
      <c r="M62" s="87"/>
      <c r="N62" s="87"/>
    </row>
    <row r="63" spans="1:14" ht="13.95" customHeight="1" x14ac:dyDescent="0.3">
      <c r="A63" s="135"/>
      <c r="B63" s="143"/>
      <c r="C63" s="102"/>
      <c r="D63" s="154"/>
      <c r="E63" s="102"/>
      <c r="F63" s="102"/>
      <c r="G63" s="102"/>
      <c r="H63" s="162"/>
      <c r="I63" s="169"/>
      <c r="J63" s="172"/>
      <c r="K63" s="178"/>
      <c r="L63" s="188"/>
      <c r="M63" s="87"/>
      <c r="N63" s="87"/>
    </row>
    <row r="64" spans="1:14" ht="15.6" x14ac:dyDescent="0.3">
      <c r="A64" s="85"/>
      <c r="B64" s="140"/>
      <c r="C64" s="90" t="s">
        <v>19</v>
      </c>
      <c r="D64" s="151">
        <v>4</v>
      </c>
      <c r="E64" s="90">
        <v>1</v>
      </c>
      <c r="F64" s="90">
        <v>40</v>
      </c>
      <c r="G64" s="90"/>
      <c r="H64" s="163">
        <f>D64*IF(OR(E64=0,E64="-"),1,E64)*IF(OR(F64=0,F64="-"),1,F64)*IF(OR(G64=0,G64="-"),1,G64)</f>
        <v>160</v>
      </c>
      <c r="I64" s="116" t="s">
        <v>3</v>
      </c>
      <c r="J64" s="173"/>
      <c r="K64" s="179"/>
      <c r="L64" s="185"/>
      <c r="M64" s="87"/>
      <c r="N64" s="87"/>
    </row>
    <row r="65" spans="1:14" ht="15.6" x14ac:dyDescent="0.3">
      <c r="A65" s="85"/>
      <c r="B65" s="140"/>
      <c r="C65" s="125" t="s">
        <v>46</v>
      </c>
      <c r="D65" s="151">
        <v>4</v>
      </c>
      <c r="E65" s="90">
        <v>1</v>
      </c>
      <c r="F65" s="90">
        <v>41</v>
      </c>
      <c r="G65" s="90"/>
      <c r="H65" s="163">
        <f>D65*IF(OR(E65=0,E65="-"),1,E65)*IF(OR(F65=0,F65="-"),1,F65)*IF(OR(G65=0,G65="-"),1,G65)</f>
        <v>164</v>
      </c>
      <c r="I65" s="116" t="s">
        <v>3</v>
      </c>
      <c r="J65" s="173"/>
      <c r="K65" s="179"/>
      <c r="L65" s="185"/>
      <c r="M65" s="87"/>
      <c r="N65" s="87"/>
    </row>
    <row r="66" spans="1:14" ht="15.6" x14ac:dyDescent="0.3">
      <c r="A66" s="80"/>
      <c r="B66" s="141"/>
      <c r="C66" s="103"/>
      <c r="D66" s="152"/>
      <c r="E66" s="103"/>
      <c r="F66" s="104" t="s">
        <v>4</v>
      </c>
      <c r="G66" s="104"/>
      <c r="H66" s="164">
        <f>SUM(H64:H65)</f>
        <v>324</v>
      </c>
      <c r="I66" s="103" t="s">
        <v>3</v>
      </c>
      <c r="J66" s="173"/>
      <c r="K66" s="180"/>
      <c r="L66" s="186"/>
      <c r="M66" s="87"/>
      <c r="N66" s="87"/>
    </row>
    <row r="67" spans="1:14" ht="15.6" x14ac:dyDescent="0.3">
      <c r="A67" s="81"/>
      <c r="B67" s="142"/>
      <c r="C67" s="105"/>
      <c r="D67" s="153"/>
      <c r="E67" s="106" t="s">
        <v>44</v>
      </c>
      <c r="F67" s="106"/>
      <c r="G67" s="106"/>
      <c r="H67" s="164">
        <f>ROUND(H66*0.3048,3)</f>
        <v>98.754999999999995</v>
      </c>
      <c r="I67" s="105" t="s">
        <v>43</v>
      </c>
      <c r="J67" s="173"/>
      <c r="K67" s="180"/>
      <c r="L67" s="83"/>
      <c r="M67" s="87"/>
      <c r="N67" s="87"/>
    </row>
    <row r="68" spans="1:14" ht="31.05" customHeight="1" x14ac:dyDescent="0.3">
      <c r="A68" s="136"/>
      <c r="B68" s="144"/>
      <c r="C68" s="113"/>
      <c r="D68" s="159"/>
      <c r="E68" s="114" t="s">
        <v>20</v>
      </c>
      <c r="F68" s="114"/>
      <c r="G68" s="114"/>
      <c r="H68" s="164">
        <f>ROUND(H67*6.8,3)</f>
        <v>671.53399999999999</v>
      </c>
      <c r="I68" s="113" t="s">
        <v>5</v>
      </c>
      <c r="J68" s="174" t="s">
        <v>9</v>
      </c>
      <c r="K68" s="180"/>
      <c r="L68" s="189"/>
      <c r="M68" s="87"/>
      <c r="N68" s="87"/>
    </row>
    <row r="69" spans="1:14" ht="13.95" customHeight="1" x14ac:dyDescent="0.3">
      <c r="A69" s="135"/>
      <c r="B69" s="143"/>
      <c r="C69" s="102"/>
      <c r="D69" s="154"/>
      <c r="E69" s="102"/>
      <c r="F69" s="102"/>
      <c r="G69" s="102"/>
      <c r="H69" s="162"/>
      <c r="I69" s="169"/>
      <c r="J69" s="172"/>
      <c r="K69" s="178"/>
      <c r="L69" s="188"/>
      <c r="M69" s="87"/>
      <c r="N69" s="87"/>
    </row>
    <row r="70" spans="1:14" ht="15.6" x14ac:dyDescent="0.3">
      <c r="A70" s="85"/>
      <c r="B70" s="140"/>
      <c r="C70" s="90" t="s">
        <v>21</v>
      </c>
      <c r="D70" s="151">
        <v>4</v>
      </c>
      <c r="E70" s="90">
        <v>1</v>
      </c>
      <c r="F70" s="90">
        <v>40</v>
      </c>
      <c r="G70" s="90"/>
      <c r="H70" s="163">
        <f>D70*IF(OR(E70=0,E70="-"),1,E70)*IF(OR(F70=0,F70="-"),1,F70)*IF(OR(G70=0,G70="-"),1,G70)</f>
        <v>160</v>
      </c>
      <c r="I70" s="116" t="s">
        <v>3</v>
      </c>
      <c r="J70" s="173"/>
      <c r="K70" s="179"/>
      <c r="L70" s="185"/>
      <c r="M70" s="87"/>
      <c r="N70" s="87"/>
    </row>
    <row r="71" spans="1:14" ht="15.6" x14ac:dyDescent="0.3">
      <c r="A71" s="85"/>
      <c r="B71" s="140"/>
      <c r="C71" s="125" t="s">
        <v>42</v>
      </c>
      <c r="D71" s="151">
        <v>4</v>
      </c>
      <c r="E71" s="90">
        <v>1</v>
      </c>
      <c r="F71" s="90">
        <v>41</v>
      </c>
      <c r="G71" s="90"/>
      <c r="H71" s="163">
        <f>D71*IF(OR(E71=0,E71="-"),1,E71)*IF(OR(F71=0,F71="-"),1,F71)*IF(OR(G71=0,G71="-"),1,G71)</f>
        <v>164</v>
      </c>
      <c r="I71" s="116" t="s">
        <v>3</v>
      </c>
      <c r="J71" s="173"/>
      <c r="K71" s="179"/>
      <c r="L71" s="185"/>
      <c r="M71" s="87"/>
      <c r="N71" s="87"/>
    </row>
    <row r="72" spans="1:14" ht="15.6" x14ac:dyDescent="0.3">
      <c r="A72" s="80"/>
      <c r="B72" s="141"/>
      <c r="C72" s="103"/>
      <c r="D72" s="152"/>
      <c r="E72" s="103"/>
      <c r="F72" s="104" t="s">
        <v>4</v>
      </c>
      <c r="G72" s="104"/>
      <c r="H72" s="164">
        <f>SUM(H70:H71)</f>
        <v>324</v>
      </c>
      <c r="I72" s="103" t="s">
        <v>3</v>
      </c>
      <c r="J72" s="173"/>
      <c r="K72" s="180"/>
      <c r="L72" s="186"/>
      <c r="M72" s="87"/>
      <c r="N72" s="87"/>
    </row>
    <row r="73" spans="1:14" ht="15.6" x14ac:dyDescent="0.3">
      <c r="A73" s="81"/>
      <c r="B73" s="142"/>
      <c r="C73" s="105"/>
      <c r="D73" s="153"/>
      <c r="E73" s="106" t="s">
        <v>44</v>
      </c>
      <c r="F73" s="106"/>
      <c r="G73" s="106"/>
      <c r="H73" s="164">
        <f>ROUND(H72*0.3048,3)</f>
        <v>98.754999999999995</v>
      </c>
      <c r="I73" s="105" t="s">
        <v>43</v>
      </c>
      <c r="J73" s="173"/>
      <c r="K73" s="180"/>
      <c r="L73" s="83"/>
      <c r="M73" s="87"/>
      <c r="N73" s="87"/>
    </row>
    <row r="74" spans="1:14" ht="31.05" customHeight="1" x14ac:dyDescent="0.3">
      <c r="A74" s="136"/>
      <c r="B74" s="144"/>
      <c r="C74" s="113"/>
      <c r="D74" s="159"/>
      <c r="E74" s="114" t="s">
        <v>45</v>
      </c>
      <c r="F74" s="114"/>
      <c r="G74" s="114"/>
      <c r="H74" s="164">
        <f>ROUND(H73*7.21785,3)</f>
        <v>712.79899999999998</v>
      </c>
      <c r="I74" s="113" t="s">
        <v>5</v>
      </c>
      <c r="J74" s="174" t="s">
        <v>53</v>
      </c>
      <c r="K74" s="180"/>
      <c r="L74" s="189"/>
      <c r="M74" s="87"/>
      <c r="N74" s="87"/>
    </row>
    <row r="75" spans="1:14" ht="13.95" customHeight="1" x14ac:dyDescent="0.3">
      <c r="A75" s="137"/>
      <c r="B75" s="145"/>
      <c r="C75" s="121"/>
      <c r="D75" s="160"/>
      <c r="E75" s="161"/>
      <c r="F75" s="161"/>
      <c r="G75" s="161"/>
      <c r="H75" s="165"/>
      <c r="I75" s="170"/>
      <c r="J75" s="175"/>
      <c r="K75" s="182"/>
      <c r="L75" s="190"/>
      <c r="M75" s="87"/>
      <c r="N75" s="87"/>
    </row>
    <row r="76" spans="1:14" ht="31.2" x14ac:dyDescent="0.3">
      <c r="A76" s="81"/>
      <c r="B76" s="142"/>
      <c r="C76" s="105"/>
      <c r="D76" s="153"/>
      <c r="E76" s="129" t="s">
        <v>54</v>
      </c>
      <c r="F76" s="129"/>
      <c r="G76" s="129"/>
      <c r="H76" s="84">
        <f>ROUND(SUM(H62,H68,H74),3)</f>
        <v>2167.8339999999998</v>
      </c>
      <c r="I76" s="107" t="s">
        <v>55</v>
      </c>
      <c r="J76" s="173" t="s">
        <v>111</v>
      </c>
      <c r="K76" s="181">
        <f>IF(B57="13.30.1",IF(J76="Labour Rate 01.04.23",20,IF(J76="Material Rate 01.04.23",87,IF(J76="Through Rate 01.04.23",105,0))),"")</f>
        <v>105</v>
      </c>
      <c r="L76" s="187">
        <f>IF(H76*K76&lt;&gt;0,H76*K76,0)</f>
        <v>227622.56999999998</v>
      </c>
      <c r="M76" s="87"/>
      <c r="N76" s="87"/>
    </row>
    <row r="77" spans="1:14" ht="13.95" customHeight="1" x14ac:dyDescent="0.3">
      <c r="A77" s="137"/>
      <c r="B77" s="145"/>
      <c r="C77" s="121"/>
      <c r="D77" s="160"/>
      <c r="E77" s="161"/>
      <c r="F77" s="161"/>
      <c r="G77" s="161"/>
      <c r="H77" s="165"/>
      <c r="I77" s="170"/>
      <c r="J77" s="175"/>
      <c r="K77" s="182"/>
      <c r="L77" s="190"/>
      <c r="M77" s="87"/>
      <c r="N77" s="87"/>
    </row>
    <row r="78" spans="1:14" s="118" customFormat="1" ht="81" x14ac:dyDescent="0.3">
      <c r="A78" s="133">
        <f>IFERROR(LOOKUP(2,1/(ISNUMBER($A$4:$A$77)),$A$4:$A$77),0)+1</f>
        <v>9</v>
      </c>
      <c r="B78" s="140" t="s">
        <v>29</v>
      </c>
      <c r="C78" s="119" t="s">
        <v>115</v>
      </c>
      <c r="D78" s="150"/>
      <c r="E78" s="88"/>
      <c r="F78" s="88"/>
      <c r="G78" s="88"/>
      <c r="H78" s="162"/>
      <c r="I78" s="168"/>
      <c r="J78" s="172"/>
      <c r="K78" s="178"/>
      <c r="L78" s="184"/>
      <c r="M78" s="87"/>
      <c r="N78" s="87"/>
    </row>
    <row r="79" spans="1:14" ht="15.6" x14ac:dyDescent="0.3">
      <c r="A79" s="85"/>
      <c r="B79" s="140"/>
      <c r="C79" s="90"/>
      <c r="D79" s="151">
        <v>1</v>
      </c>
      <c r="E79" s="90">
        <v>1</v>
      </c>
      <c r="F79" s="90"/>
      <c r="G79" s="90"/>
      <c r="H79" s="163">
        <f>D79*IF(OR(E79=0,E79="-"),1,E79)*IF(OR(F79=0,F79="-"),1,F79)*IF(OR(G79=0,G79="-"),1,G79)</f>
        <v>1</v>
      </c>
      <c r="I79" s="116" t="s">
        <v>40</v>
      </c>
      <c r="J79" s="173"/>
      <c r="K79" s="179"/>
      <c r="L79" s="185"/>
      <c r="M79" s="87"/>
      <c r="N79" s="87"/>
    </row>
    <row r="80" spans="1:14" ht="15.6" x14ac:dyDescent="0.3">
      <c r="A80" s="80"/>
      <c r="B80" s="141"/>
      <c r="C80" s="103"/>
      <c r="D80" s="152"/>
      <c r="E80" s="103"/>
      <c r="F80" s="104" t="s">
        <v>41</v>
      </c>
      <c r="G80" s="104"/>
      <c r="H80" s="164">
        <f>SUM(H79:H79)</f>
        <v>1</v>
      </c>
      <c r="I80" s="103" t="s">
        <v>40</v>
      </c>
      <c r="J80" s="173"/>
      <c r="K80" s="180"/>
      <c r="L80" s="186"/>
      <c r="M80" s="87"/>
      <c r="N80" s="87"/>
    </row>
    <row r="81" spans="1:14" ht="31.2" x14ac:dyDescent="0.3">
      <c r="A81" s="81"/>
      <c r="B81" s="142"/>
      <c r="C81" s="105"/>
      <c r="D81" s="153"/>
      <c r="E81" s="106" t="s">
        <v>41</v>
      </c>
      <c r="F81" s="106"/>
      <c r="G81" s="106"/>
      <c r="H81" s="164">
        <f>ROUND(H80*1,3)</f>
        <v>1</v>
      </c>
      <c r="I81" s="107" t="s">
        <v>40</v>
      </c>
      <c r="J81" s="173" t="s">
        <v>111</v>
      </c>
      <c r="K81" s="181">
        <f>IF(B78="9.59.2",IF(J81="Labour Rate 01.04.23",104,IF(J81="Material Rate 01.04.23",43,IF(J81="Through Rate 01.04.23",147,0))),"")</f>
        <v>147</v>
      </c>
      <c r="L81" s="187">
        <f>IF(H81*K81&lt;&gt;0,H81*K81,0)</f>
        <v>147</v>
      </c>
      <c r="M81" s="87"/>
      <c r="N81" s="87"/>
    </row>
    <row r="82" spans="1:14" ht="13.95" customHeight="1" x14ac:dyDescent="0.3">
      <c r="A82" s="135"/>
      <c r="B82" s="143"/>
      <c r="C82" s="102"/>
      <c r="D82" s="154"/>
      <c r="E82" s="102"/>
      <c r="F82" s="102"/>
      <c r="G82" s="102"/>
      <c r="H82" s="162"/>
      <c r="I82" s="169"/>
      <c r="J82" s="172"/>
      <c r="K82" s="178"/>
      <c r="L82" s="188"/>
      <c r="M82" s="87"/>
      <c r="N82" s="87"/>
    </row>
    <row r="83" spans="1:14" s="118" customFormat="1" ht="69" x14ac:dyDescent="0.3">
      <c r="A83" s="133">
        <f>IFERROR(LOOKUP(2,1/(ISNUMBER($A$4:$A$82)),$A$4:$A$82),0)+1</f>
        <v>10</v>
      </c>
      <c r="B83" s="140" t="s">
        <v>32</v>
      </c>
      <c r="C83" s="119" t="s">
        <v>114</v>
      </c>
      <c r="D83" s="150"/>
      <c r="E83" s="88"/>
      <c r="F83" s="88"/>
      <c r="G83" s="88"/>
      <c r="H83" s="162"/>
      <c r="I83" s="168"/>
      <c r="J83" s="172"/>
      <c r="K83" s="178"/>
      <c r="L83" s="184"/>
      <c r="M83" s="87"/>
      <c r="N83" s="87"/>
    </row>
    <row r="84" spans="1:14" ht="15.6" x14ac:dyDescent="0.3">
      <c r="A84" s="85"/>
      <c r="B84" s="140"/>
      <c r="C84" s="90"/>
      <c r="D84" s="151">
        <v>1</v>
      </c>
      <c r="E84" s="90">
        <v>500</v>
      </c>
      <c r="F84" s="90"/>
      <c r="G84" s="90"/>
      <c r="H84" s="163">
        <f>D84*IF(OR(E84=0,E84="-"),1,E84)*IF(OR(F84=0,F84="-"),1,F84)*IF(OR(G84=0,G84="-"),1,G84)</f>
        <v>500</v>
      </c>
      <c r="I84" s="116" t="s">
        <v>39</v>
      </c>
      <c r="J84" s="173"/>
      <c r="K84" s="179"/>
      <c r="L84" s="185"/>
      <c r="M84" s="87"/>
      <c r="N84" s="87"/>
    </row>
    <row r="85" spans="1:14" ht="15.6" x14ac:dyDescent="0.3">
      <c r="A85" s="80"/>
      <c r="B85" s="141"/>
      <c r="C85" s="127"/>
      <c r="D85" s="156"/>
      <c r="E85" s="112"/>
      <c r="F85" s="104" t="s">
        <v>34</v>
      </c>
      <c r="G85" s="104"/>
      <c r="H85" s="164">
        <f>SUM(H84:H84)</f>
        <v>500</v>
      </c>
      <c r="I85" s="112" t="s">
        <v>39</v>
      </c>
      <c r="J85" s="176"/>
      <c r="K85" s="180"/>
      <c r="L85" s="186"/>
      <c r="M85" s="87"/>
      <c r="N85" s="87"/>
    </row>
    <row r="86" spans="1:14" ht="31.2" x14ac:dyDescent="0.3">
      <c r="A86" s="81"/>
      <c r="B86" s="142"/>
      <c r="C86" s="109"/>
      <c r="D86" s="157"/>
      <c r="E86" s="106" t="s">
        <v>34</v>
      </c>
      <c r="F86" s="106"/>
      <c r="G86" s="106"/>
      <c r="H86" s="164">
        <f>ROUND(H85*1,3)</f>
        <v>500</v>
      </c>
      <c r="I86" s="109" t="s">
        <v>52</v>
      </c>
      <c r="J86" s="176" t="s">
        <v>111</v>
      </c>
      <c r="K86" s="181">
        <f>IF(B83="22.181",IF(J86="Material Rate 01.04.23",6,IF(J86="Through Rate 01.04.23",7,0)),"")</f>
        <v>7</v>
      </c>
      <c r="L86" s="187">
        <f>IF(H86*K86&lt;&gt;0,H86*K86,0)</f>
        <v>3500</v>
      </c>
      <c r="M86" s="87"/>
      <c r="N86" s="87"/>
    </row>
    <row r="87" spans="1:14" ht="13.95" customHeight="1" x14ac:dyDescent="0.3">
      <c r="A87" s="135"/>
      <c r="B87" s="143"/>
      <c r="C87" s="110"/>
      <c r="D87" s="158"/>
      <c r="E87" s="111"/>
      <c r="F87" s="111"/>
      <c r="G87" s="111"/>
      <c r="H87" s="167"/>
      <c r="I87" s="171"/>
      <c r="J87" s="177"/>
      <c r="K87" s="178"/>
      <c r="L87" s="188"/>
      <c r="M87" s="87"/>
      <c r="N87" s="87"/>
    </row>
    <row r="88" spans="1:14" s="118" customFormat="1" ht="65.400000000000006" x14ac:dyDescent="0.3">
      <c r="A88" s="133">
        <f>IFERROR(LOOKUP(2,1/(ISNUMBER($A$4:$A$87)),$A$4:$A$87),0)+1</f>
        <v>11</v>
      </c>
      <c r="B88" s="140" t="s">
        <v>35</v>
      </c>
      <c r="C88" s="119" t="s">
        <v>113</v>
      </c>
      <c r="D88" s="150"/>
      <c r="E88" s="88"/>
      <c r="F88" s="88"/>
      <c r="G88" s="88"/>
      <c r="H88" s="162"/>
      <c r="I88" s="168"/>
      <c r="J88" s="172"/>
      <c r="K88" s="178"/>
      <c r="L88" s="184"/>
      <c r="M88" s="87"/>
      <c r="N88" s="87"/>
    </row>
    <row r="89" spans="1:14" ht="15.6" x14ac:dyDescent="0.3">
      <c r="A89" s="85"/>
      <c r="B89" s="140"/>
      <c r="C89" s="90"/>
      <c r="D89" s="151">
        <v>1</v>
      </c>
      <c r="E89" s="90">
        <v>40</v>
      </c>
      <c r="F89" s="90"/>
      <c r="G89" s="90"/>
      <c r="H89" s="163">
        <f>D89*IF(OR(E89=0,E89="-"),1,E89)*IF(OR(F89=0,F89="-"),1,F89)*IF(OR(G89=0,G89="-"),1,G89)</f>
        <v>40</v>
      </c>
      <c r="I89" s="116" t="s">
        <v>43</v>
      </c>
      <c r="J89" s="173"/>
      <c r="K89" s="179"/>
      <c r="L89" s="185"/>
      <c r="M89" s="87"/>
      <c r="N89" s="87"/>
    </row>
    <row r="90" spans="1:14" ht="15.6" x14ac:dyDescent="0.3">
      <c r="A90" s="80"/>
      <c r="B90" s="141"/>
      <c r="C90" s="103"/>
      <c r="D90" s="152"/>
      <c r="E90" s="103"/>
      <c r="F90" s="104" t="s">
        <v>44</v>
      </c>
      <c r="G90" s="104"/>
      <c r="H90" s="164">
        <f>SUM(H89:H89)</f>
        <v>40</v>
      </c>
      <c r="I90" s="103" t="s">
        <v>43</v>
      </c>
      <c r="J90" s="173"/>
      <c r="K90" s="180"/>
      <c r="L90" s="186"/>
      <c r="M90" s="87"/>
      <c r="N90" s="87"/>
    </row>
    <row r="91" spans="1:14" s="1" customFormat="1" ht="31.2" x14ac:dyDescent="0.3">
      <c r="A91" s="81"/>
      <c r="B91" s="142"/>
      <c r="C91" s="109"/>
      <c r="D91" s="157"/>
      <c r="E91" s="106" t="s">
        <v>44</v>
      </c>
      <c r="F91" s="106"/>
      <c r="G91" s="106"/>
      <c r="H91" s="164">
        <f>ROUND(H90*1,3)</f>
        <v>40</v>
      </c>
      <c r="I91" s="109" t="s">
        <v>43</v>
      </c>
      <c r="J91" s="176" t="s">
        <v>111</v>
      </c>
      <c r="K91" s="181">
        <f>IF(B88="22.222.2.2",IF(J91="Labour Rate 01.04.23",87,IF(J91="Material Rate 01.04.23",236,IF(J91="Through Rate 01.04.23",322,0))),"")</f>
        <v>322</v>
      </c>
      <c r="L91" s="187">
        <f>IF(H91*K91&lt;&gt;0,H91*K91,0)</f>
        <v>12880</v>
      </c>
      <c r="M91" s="87"/>
      <c r="N91" s="87"/>
    </row>
    <row r="92" spans="1:14" ht="13.95" customHeight="1" x14ac:dyDescent="0.3">
      <c r="A92" s="135"/>
      <c r="B92" s="143"/>
      <c r="C92" s="102"/>
      <c r="D92" s="154"/>
      <c r="E92" s="102"/>
      <c r="F92" s="102"/>
      <c r="G92" s="102"/>
      <c r="H92" s="162"/>
      <c r="I92" s="169"/>
      <c r="J92" s="172"/>
      <c r="K92" s="178"/>
      <c r="L92" s="188"/>
      <c r="M92" s="87"/>
      <c r="N92" s="87"/>
    </row>
    <row r="93" spans="1:14" s="118" customFormat="1" ht="53.4" x14ac:dyDescent="0.3">
      <c r="A93" s="133">
        <f>IFERROR(LOOKUP(2,1/(ISNUMBER($A$4:$A$92)),$A$4:$A$92),0)+1</f>
        <v>12</v>
      </c>
      <c r="B93" s="140" t="s">
        <v>104</v>
      </c>
      <c r="C93" s="119" t="s">
        <v>112</v>
      </c>
      <c r="D93" s="151"/>
      <c r="E93" s="90" t="s">
        <v>136</v>
      </c>
      <c r="F93" s="90" t="s">
        <v>137</v>
      </c>
      <c r="G93" s="90"/>
      <c r="H93" s="82"/>
      <c r="I93" s="116"/>
      <c r="J93" s="173"/>
      <c r="K93" s="179"/>
      <c r="L93" s="185"/>
      <c r="M93" s="87"/>
      <c r="N93" s="87"/>
    </row>
    <row r="94" spans="1:14" ht="15.6" x14ac:dyDescent="0.3">
      <c r="A94" s="85"/>
      <c r="B94" s="140"/>
      <c r="C94" s="90" t="s">
        <v>135</v>
      </c>
      <c r="D94" s="151">
        <v>10</v>
      </c>
      <c r="E94" s="90">
        <f>ROUND((1+3)/2,4)</f>
        <v>2</v>
      </c>
      <c r="F94" s="90">
        <v>2</v>
      </c>
      <c r="G94" s="90">
        <v>4</v>
      </c>
      <c r="H94" s="163">
        <f>D94*IF(OR(E94=0,E94="-"),1,E94)*IF(OR(F94=0,F94="-"),1,F94)*IF(OR(G94=0,G94="-"),1,G94)</f>
        <v>160</v>
      </c>
      <c r="I94" s="116" t="s">
        <v>12</v>
      </c>
      <c r="J94" s="173"/>
      <c r="K94" s="179"/>
      <c r="L94" s="185"/>
      <c r="M94" s="87"/>
      <c r="N94" s="87"/>
    </row>
    <row r="95" spans="1:14" ht="15.6" x14ac:dyDescent="0.3">
      <c r="A95" s="85"/>
      <c r="B95" s="140"/>
      <c r="C95" s="90" t="s">
        <v>134</v>
      </c>
      <c r="D95" s="151">
        <v>12</v>
      </c>
      <c r="E95" s="90">
        <f>ROUND((2+4)/2,4)</f>
        <v>3</v>
      </c>
      <c r="F95" s="90">
        <v>3</v>
      </c>
      <c r="G95" s="90">
        <v>5</v>
      </c>
      <c r="H95" s="163">
        <f>D95*IF(OR(E95=0,E95="-"),1,E95)*IF(OR(F95=0,F95="-"),1,F95)*IF(OR(G95=0,G95="-"),1,G95)</f>
        <v>540</v>
      </c>
      <c r="I95" s="116" t="s">
        <v>12</v>
      </c>
      <c r="J95" s="173"/>
      <c r="K95" s="179"/>
      <c r="L95" s="185"/>
      <c r="M95" s="87"/>
      <c r="N95" s="87"/>
    </row>
    <row r="96" spans="1:14" ht="15.6" x14ac:dyDescent="0.3">
      <c r="A96" s="80"/>
      <c r="B96" s="141"/>
      <c r="C96" s="103"/>
      <c r="D96" s="152"/>
      <c r="E96" s="103"/>
      <c r="F96" s="104" t="s">
        <v>13</v>
      </c>
      <c r="G96" s="104"/>
      <c r="H96" s="164">
        <f>SUM(H94:H95)</f>
        <v>700</v>
      </c>
      <c r="I96" s="103" t="s">
        <v>12</v>
      </c>
      <c r="J96" s="173"/>
      <c r="K96" s="180"/>
      <c r="L96" s="186"/>
      <c r="M96" s="87"/>
      <c r="N96" s="87"/>
    </row>
    <row r="97" spans="1:14" ht="31.2" x14ac:dyDescent="0.3">
      <c r="A97" s="81"/>
      <c r="B97" s="142"/>
      <c r="C97" s="105"/>
      <c r="D97" s="153"/>
      <c r="E97" s="106" t="s">
        <v>14</v>
      </c>
      <c r="F97" s="106"/>
      <c r="G97" s="106"/>
      <c r="H97" s="164">
        <f>ROUND(H96*0.09290304,3)</f>
        <v>65.031999999999996</v>
      </c>
      <c r="I97" s="107" t="s">
        <v>15</v>
      </c>
      <c r="J97" s="173" t="s">
        <v>111</v>
      </c>
      <c r="K97" s="181">
        <f>IF(B93="6.30.1",IF(J97="Labour Rate 01.04.23",95,IF(J97="Material Rate 01.04.23",62,IF(J97="Through Rate 01.04.23",156,0))),"")</f>
        <v>156</v>
      </c>
      <c r="L97" s="187">
        <f>IF(H97*K97&lt;&gt;0,H97*K97,0)</f>
        <v>10144.992</v>
      </c>
      <c r="M97" s="87"/>
      <c r="N97" s="87"/>
    </row>
    <row r="98" spans="1:14" ht="13.95" customHeight="1" x14ac:dyDescent="0.3">
      <c r="A98" s="135"/>
      <c r="B98" s="143"/>
      <c r="C98" s="102"/>
      <c r="D98" s="154"/>
      <c r="E98" s="102"/>
      <c r="F98" s="102"/>
      <c r="G98" s="102"/>
      <c r="H98" s="162"/>
      <c r="I98" s="169"/>
      <c r="J98" s="172"/>
      <c r="K98" s="178"/>
      <c r="L98" s="188"/>
      <c r="M98" s="87"/>
      <c r="N98" s="87"/>
    </row>
    <row r="99" spans="1:14" s="118" customFormat="1" ht="15.6" x14ac:dyDescent="0.3">
      <c r="A99" s="133">
        <f>IFERROR(LOOKUP(2,1/(ISNUMBER($A$4:$A$98)),$A$4:$A$98),0)+1</f>
        <v>13</v>
      </c>
      <c r="B99" s="140" t="s">
        <v>138</v>
      </c>
      <c r="C99" s="117" t="s">
        <v>77</v>
      </c>
      <c r="D99" s="150"/>
      <c r="E99" s="88"/>
      <c r="F99" s="88"/>
      <c r="G99" s="88"/>
      <c r="H99" s="162"/>
      <c r="I99" s="168"/>
      <c r="J99" s="172"/>
      <c r="K99" s="178"/>
      <c r="L99" s="184"/>
      <c r="M99" s="87"/>
      <c r="N99" s="87"/>
    </row>
    <row r="100" spans="1:14" ht="15.6" x14ac:dyDescent="0.3">
      <c r="A100" s="85"/>
      <c r="B100" s="140"/>
      <c r="C100" s="90"/>
      <c r="D100" s="151">
        <v>10</v>
      </c>
      <c r="E100" s="90">
        <v>1</v>
      </c>
      <c r="F100" s="90"/>
      <c r="G100" s="90"/>
      <c r="H100" s="163">
        <f>D100*IF(OR(E100=0,E100="-"),1,E100)*IF(OR(F100=0,F100="-"),1,F100)*IF(OR(G100=0,G100="-"),1,G100)</f>
        <v>10</v>
      </c>
      <c r="I100" s="116" t="s">
        <v>78</v>
      </c>
      <c r="J100" s="173"/>
      <c r="K100" s="179"/>
      <c r="L100" s="185"/>
      <c r="M100" s="87"/>
      <c r="N100" s="87"/>
    </row>
    <row r="101" spans="1:14" ht="15.6" x14ac:dyDescent="0.3">
      <c r="A101" s="80"/>
      <c r="B101" s="141"/>
      <c r="C101" s="103"/>
      <c r="D101" s="152"/>
      <c r="E101" s="103"/>
      <c r="F101" s="104" t="s">
        <v>31</v>
      </c>
      <c r="G101" s="104"/>
      <c r="H101" s="164">
        <f>SUM(H100:H100)</f>
        <v>10</v>
      </c>
      <c r="I101" s="103" t="s">
        <v>78</v>
      </c>
      <c r="J101" s="173"/>
      <c r="K101" s="180"/>
      <c r="L101" s="186"/>
      <c r="M101" s="87"/>
      <c r="N101" s="87"/>
    </row>
    <row r="102" spans="1:14" s="1" customFormat="1" ht="15.6" x14ac:dyDescent="0.3">
      <c r="A102" s="138" t="s">
        <v>69</v>
      </c>
      <c r="B102" s="142"/>
      <c r="C102" s="105"/>
      <c r="D102" s="153"/>
      <c r="E102" s="106" t="s">
        <v>31</v>
      </c>
      <c r="F102" s="106"/>
      <c r="G102" s="106"/>
      <c r="H102" s="164">
        <f>ROUND(H101*1,3)</f>
        <v>10</v>
      </c>
      <c r="I102" s="105" t="s">
        <v>78</v>
      </c>
      <c r="J102" s="173" t="s">
        <v>79</v>
      </c>
      <c r="K102" s="180">
        <v>0</v>
      </c>
      <c r="L102" s="187">
        <f>IF(H102*K102&lt;&gt;0,H102*K102,0)</f>
        <v>0</v>
      </c>
      <c r="M102" s="87"/>
      <c r="N102" s="87"/>
    </row>
    <row r="103" spans="1:14" ht="13.95" customHeight="1" thickBot="1" x14ac:dyDescent="0.35">
      <c r="A103" s="130"/>
      <c r="B103" s="146"/>
      <c r="C103" s="131"/>
      <c r="D103" s="131"/>
      <c r="E103" s="131"/>
      <c r="F103" s="131"/>
      <c r="G103" s="131"/>
      <c r="H103" s="131"/>
      <c r="I103" s="131"/>
      <c r="J103" s="131"/>
      <c r="K103" s="131"/>
      <c r="L103" s="132"/>
      <c r="M103" s="87"/>
      <c r="N103" s="87"/>
    </row>
    <row r="104" spans="1:14" ht="16.2" thickTop="1" x14ac:dyDescent="0.3">
      <c r="A104" s="86"/>
      <c r="B104" s="147"/>
      <c r="C104" s="87"/>
      <c r="D104" s="87"/>
      <c r="E104" s="79"/>
      <c r="F104" s="79"/>
      <c r="G104" s="79"/>
      <c r="H104" s="79"/>
      <c r="I104" s="194" t="s">
        <v>70</v>
      </c>
      <c r="J104" s="195"/>
      <c r="K104" s="195"/>
      <c r="L104" s="196">
        <f>SUM(L5:L103)</f>
        <v>275491.41499999998</v>
      </c>
      <c r="M104" s="79"/>
      <c r="N104" s="87"/>
    </row>
    <row r="105" spans="1:14" ht="15.6" x14ac:dyDescent="0.3">
      <c r="A105" s="86"/>
      <c r="B105" s="147"/>
      <c r="C105" s="87"/>
      <c r="D105" s="87"/>
      <c r="E105" s="79"/>
      <c r="F105" s="79"/>
      <c r="G105" s="79"/>
      <c r="H105" s="79"/>
      <c r="I105" s="197" t="s">
        <v>71</v>
      </c>
      <c r="J105" s="5"/>
      <c r="K105" s="198">
        <v>0</v>
      </c>
      <c r="L105" s="199">
        <f>$L$104 * ($K$105)</f>
        <v>0</v>
      </c>
      <c r="M105" s="79"/>
      <c r="N105" s="87"/>
    </row>
    <row r="106" spans="1:14" ht="15.6" x14ac:dyDescent="0.3">
      <c r="A106" s="86"/>
      <c r="B106" s="147"/>
      <c r="C106" s="87"/>
      <c r="D106" s="87"/>
      <c r="E106" s="79"/>
      <c r="F106" s="79"/>
      <c r="G106" s="79"/>
      <c r="H106" s="79"/>
      <c r="I106" s="197" t="s">
        <v>72</v>
      </c>
      <c r="J106" s="5"/>
      <c r="K106" s="5"/>
      <c r="L106" s="199">
        <f>$L$104 + $L$105</f>
        <v>275491.41499999998</v>
      </c>
      <c r="M106" s="79"/>
      <c r="N106" s="87"/>
    </row>
    <row r="107" spans="1:14" ht="15.6" x14ac:dyDescent="0.3">
      <c r="A107" s="86"/>
      <c r="B107" s="147"/>
      <c r="C107" s="87"/>
      <c r="D107" s="87"/>
      <c r="E107" s="79"/>
      <c r="F107" s="79"/>
      <c r="G107" s="79"/>
      <c r="H107" s="79"/>
      <c r="I107" s="197" t="s">
        <v>73</v>
      </c>
      <c r="J107" s="5"/>
      <c r="K107" s="5"/>
      <c r="L107" s="199">
        <f>$L$106*0.18</f>
        <v>49588.454699999995</v>
      </c>
      <c r="M107" s="79"/>
      <c r="N107" s="87"/>
    </row>
    <row r="108" spans="1:14" ht="15.6" x14ac:dyDescent="0.3">
      <c r="A108" s="86"/>
      <c r="B108" s="147"/>
      <c r="C108" s="87"/>
      <c r="D108" s="87"/>
      <c r="E108" s="79"/>
      <c r="F108" s="79"/>
      <c r="G108" s="79"/>
      <c r="H108" s="79"/>
      <c r="I108" s="197" t="s">
        <v>74</v>
      </c>
      <c r="J108" s="5"/>
      <c r="K108" s="198">
        <v>0</v>
      </c>
      <c r="L108" s="200">
        <f>$L$106 * ($K$108)</f>
        <v>0</v>
      </c>
      <c r="M108" s="79"/>
      <c r="N108" s="87"/>
    </row>
    <row r="109" spans="1:14" ht="16.2" thickBot="1" x14ac:dyDescent="0.35">
      <c r="A109" s="86"/>
      <c r="B109" s="147"/>
      <c r="C109" s="87"/>
      <c r="D109" s="87"/>
      <c r="E109" s="79"/>
      <c r="F109" s="79"/>
      <c r="G109" s="79"/>
      <c r="H109" s="79"/>
      <c r="I109" s="201" t="s">
        <v>75</v>
      </c>
      <c r="J109" s="6"/>
      <c r="K109" s="6"/>
      <c r="L109" s="7">
        <f>$L$106+$L$107+$L$108</f>
        <v>325079.86969999998</v>
      </c>
      <c r="M109" s="79"/>
      <c r="N109" s="87"/>
    </row>
    <row r="110" spans="1:14" ht="16.2" thickTop="1" x14ac:dyDescent="0.3">
      <c r="A110" s="86"/>
      <c r="B110" s="147"/>
      <c r="C110" s="87"/>
      <c r="D110" s="87"/>
      <c r="E110" s="79"/>
      <c r="F110" s="79"/>
      <c r="G110" s="79"/>
      <c r="H110" s="79"/>
      <c r="I110" s="3"/>
      <c r="J110" s="3"/>
      <c r="K110" s="3"/>
      <c r="L110" s="3"/>
      <c r="M110" s="79"/>
      <c r="N110" s="87"/>
    </row>
    <row r="111" spans="1:14" ht="18" x14ac:dyDescent="0.3">
      <c r="A111" s="86"/>
      <c r="B111" s="147"/>
      <c r="C111" s="87"/>
      <c r="D111" s="87"/>
      <c r="E111" s="79"/>
      <c r="F111" s="79"/>
      <c r="G111" s="79"/>
      <c r="H111" s="192" t="s">
        <v>130</v>
      </c>
      <c r="I111" s="193" t="str">
        <f>IF(L109&gt;=100000,ROUND(L109/100000,2)&amp;" Lakh",IF(L109&gt;=1000,ROUND(L109/1000,2)&amp;" Thousand",ROUND(L109,0))) &amp; " Only"</f>
        <v>3.25 Lakh Only</v>
      </c>
      <c r="J111" s="191"/>
      <c r="K111" s="191"/>
      <c r="L111" s="191"/>
      <c r="M111" s="79"/>
      <c r="N111" s="87"/>
    </row>
    <row r="112" spans="1:14" ht="15.6" x14ac:dyDescent="0.3">
      <c r="A112" s="86"/>
      <c r="B112" s="147"/>
      <c r="C112" s="87"/>
      <c r="D112" s="87"/>
      <c r="E112" s="79"/>
      <c r="F112" s="79"/>
      <c r="G112" s="79"/>
      <c r="H112" s="79"/>
      <c r="I112" s="79"/>
      <c r="J112" s="79"/>
      <c r="K112" s="79"/>
      <c r="L112" s="79"/>
      <c r="M112" s="79"/>
      <c r="N112" s="87"/>
    </row>
    <row r="113" spans="1:14" ht="15.6" x14ac:dyDescent="0.3">
      <c r="A113" s="86"/>
      <c r="B113" s="147"/>
      <c r="C113" s="87"/>
      <c r="D113" s="87"/>
      <c r="E113" s="87"/>
      <c r="F113" s="87"/>
      <c r="G113" s="87"/>
      <c r="H113" s="87"/>
      <c r="I113" s="87"/>
      <c r="J113" s="87"/>
      <c r="K113" s="87"/>
      <c r="L113" s="87"/>
      <c r="M113" s="87"/>
      <c r="N113" s="87"/>
    </row>
    <row r="114" spans="1:14" ht="16.2" thickBot="1" x14ac:dyDescent="0.35">
      <c r="A114" s="86"/>
      <c r="B114" s="147"/>
      <c r="C114" s="87"/>
      <c r="D114" s="87"/>
      <c r="E114" s="87"/>
      <c r="F114" s="87"/>
      <c r="G114" s="87"/>
      <c r="H114" s="87"/>
      <c r="I114" s="87"/>
      <c r="J114" s="87"/>
      <c r="K114" s="87"/>
      <c r="L114" s="87"/>
      <c r="M114" s="87"/>
      <c r="N114" s="87"/>
    </row>
    <row r="115" spans="1:14" ht="31.2" x14ac:dyDescent="0.3">
      <c r="A115" s="86"/>
      <c r="B115" s="147"/>
      <c r="C115" s="87"/>
      <c r="D115" s="87"/>
      <c r="E115" s="87"/>
      <c r="F115" s="94" t="s">
        <v>80</v>
      </c>
      <c r="G115" s="95"/>
      <c r="H115" s="96" t="s">
        <v>65</v>
      </c>
      <c r="I115" s="96" t="s">
        <v>66</v>
      </c>
      <c r="J115" s="96" t="s">
        <v>58</v>
      </c>
      <c r="K115" s="96" t="s">
        <v>81</v>
      </c>
      <c r="L115" s="96" t="s">
        <v>68</v>
      </c>
      <c r="M115" s="97" t="s">
        <v>82</v>
      </c>
      <c r="N115" s="87"/>
    </row>
    <row r="116" spans="1:14" ht="15.6" x14ac:dyDescent="0.3">
      <c r="A116" s="86"/>
      <c r="B116" s="147"/>
      <c r="C116" s="87"/>
      <c r="D116" s="87"/>
      <c r="E116" s="98"/>
      <c r="F116" s="99" t="s">
        <v>83</v>
      </c>
      <c r="G116" s="92"/>
      <c r="H116" s="89">
        <f>ROUND(((6.578)*1.25),2)</f>
        <v>8.2200000000000006</v>
      </c>
      <c r="I116" s="89" t="s">
        <v>92</v>
      </c>
      <c r="J116" s="89">
        <v>253</v>
      </c>
      <c r="K116" s="89">
        <v>0.18</v>
      </c>
      <c r="L116" s="89">
        <f t="shared" ref="L116:L128" si="0">ROUND(H116*J116,0)</f>
        <v>2080</v>
      </c>
      <c r="M116" s="100">
        <f t="shared" ref="M116:M128" si="1">ROUND(L116*(1+K116),0)</f>
        <v>2454</v>
      </c>
      <c r="N116" s="87"/>
    </row>
    <row r="117" spans="1:14" ht="15.6" x14ac:dyDescent="0.3">
      <c r="A117" s="86"/>
      <c r="B117" s="147"/>
      <c r="C117" s="87"/>
      <c r="D117" s="87"/>
      <c r="E117" s="101"/>
      <c r="F117" s="99" t="s">
        <v>84</v>
      </c>
      <c r="G117" s="92"/>
      <c r="H117" s="89">
        <f>ROUND(((4.248)*35.336),2)</f>
        <v>150.11000000000001</v>
      </c>
      <c r="I117" s="89" t="s">
        <v>93</v>
      </c>
      <c r="J117" s="89">
        <v>20</v>
      </c>
      <c r="K117" s="89">
        <v>0.05</v>
      </c>
      <c r="L117" s="89">
        <f t="shared" si="0"/>
        <v>3002</v>
      </c>
      <c r="M117" s="100">
        <f t="shared" si="1"/>
        <v>3152</v>
      </c>
      <c r="N117" s="87"/>
    </row>
    <row r="118" spans="1:14" ht="15.6" x14ac:dyDescent="0.3">
      <c r="A118" s="86"/>
      <c r="B118" s="147"/>
      <c r="C118" s="87"/>
      <c r="D118" s="87"/>
      <c r="E118" s="101"/>
      <c r="F118" s="99" t="s">
        <v>85</v>
      </c>
      <c r="G118" s="92"/>
      <c r="H118" s="89">
        <f>ROUND(((6.578)*9.452),2)</f>
        <v>62.18</v>
      </c>
      <c r="I118" s="89" t="s">
        <v>93</v>
      </c>
      <c r="J118" s="89">
        <v>48</v>
      </c>
      <c r="K118" s="89">
        <v>0.05</v>
      </c>
      <c r="L118" s="89">
        <f t="shared" si="0"/>
        <v>2985</v>
      </c>
      <c r="M118" s="100">
        <f t="shared" si="1"/>
        <v>3134</v>
      </c>
      <c r="N118" s="87"/>
    </row>
    <row r="119" spans="1:14" ht="15.6" x14ac:dyDescent="0.3">
      <c r="A119" s="86"/>
      <c r="B119" s="147"/>
      <c r="C119" s="87"/>
      <c r="D119" s="87"/>
      <c r="E119" s="101"/>
      <c r="F119" s="99" t="s">
        <v>86</v>
      </c>
      <c r="G119" s="92"/>
      <c r="H119" s="89">
        <f>ROUND(((6.578)*480),2)</f>
        <v>3157.44</v>
      </c>
      <c r="I119" s="89" t="s">
        <v>30</v>
      </c>
      <c r="J119" s="89">
        <v>7.7</v>
      </c>
      <c r="K119" s="89">
        <v>0.12</v>
      </c>
      <c r="L119" s="89">
        <f t="shared" si="0"/>
        <v>24312</v>
      </c>
      <c r="M119" s="100">
        <f t="shared" si="1"/>
        <v>27229</v>
      </c>
      <c r="N119" s="87"/>
    </row>
    <row r="120" spans="1:14" ht="15.6" x14ac:dyDescent="0.3">
      <c r="A120" s="86"/>
      <c r="B120" s="147"/>
      <c r="C120" s="87"/>
      <c r="D120" s="87"/>
      <c r="E120" s="101"/>
      <c r="F120" s="99" t="s">
        <v>105</v>
      </c>
      <c r="G120" s="92"/>
      <c r="H120" s="89">
        <f>ROUND(((13.75)*10.764),2)</f>
        <v>148.01</v>
      </c>
      <c r="I120" s="89" t="s">
        <v>107</v>
      </c>
      <c r="J120" s="89">
        <v>36</v>
      </c>
      <c r="K120" s="89">
        <v>0.18</v>
      </c>
      <c r="L120" s="89">
        <f t="shared" si="0"/>
        <v>5328</v>
      </c>
      <c r="M120" s="100">
        <f t="shared" si="1"/>
        <v>6287</v>
      </c>
      <c r="N120" s="87"/>
    </row>
    <row r="121" spans="1:14" ht="30" customHeight="1" x14ac:dyDescent="0.3">
      <c r="B121" s="148"/>
      <c r="E121" s="63" t="s">
        <v>99</v>
      </c>
      <c r="F121" s="75" t="s">
        <v>87</v>
      </c>
      <c r="G121" s="74"/>
      <c r="H121" s="42">
        <f>ROUND(((1)*1),2)</f>
        <v>1</v>
      </c>
      <c r="I121" s="43" t="s">
        <v>40</v>
      </c>
      <c r="J121" s="44">
        <v>30</v>
      </c>
      <c r="K121" s="45">
        <v>0.18</v>
      </c>
      <c r="L121" s="46">
        <f t="shared" si="0"/>
        <v>30</v>
      </c>
      <c r="M121" s="57">
        <f t="shared" si="1"/>
        <v>35</v>
      </c>
    </row>
    <row r="122" spans="1:14" ht="30" customHeight="1" x14ac:dyDescent="0.3">
      <c r="B122" s="148"/>
      <c r="E122" s="61"/>
      <c r="F122" s="76" t="s">
        <v>88</v>
      </c>
      <c r="G122" s="66"/>
      <c r="H122" s="17">
        <f>ROUND(((50.998)*1),2)</f>
        <v>51</v>
      </c>
      <c r="I122" s="18" t="s">
        <v>5</v>
      </c>
      <c r="J122" s="19">
        <v>100</v>
      </c>
      <c r="K122" s="20">
        <v>0.18</v>
      </c>
      <c r="L122" s="21">
        <f t="shared" si="0"/>
        <v>5100</v>
      </c>
      <c r="M122" s="52">
        <f t="shared" si="1"/>
        <v>6018</v>
      </c>
    </row>
    <row r="123" spans="1:14" ht="15" customHeight="1" x14ac:dyDescent="0.3">
      <c r="B123" s="148"/>
      <c r="E123" s="61"/>
      <c r="F123" s="77" t="s">
        <v>89</v>
      </c>
      <c r="G123" s="78"/>
      <c r="H123" s="22">
        <f>ROUND(((783.501+671.534+712.799)*1),2)</f>
        <v>2167.83</v>
      </c>
      <c r="I123" s="23" t="s">
        <v>5</v>
      </c>
      <c r="J123" s="24">
        <v>95</v>
      </c>
      <c r="K123" s="25">
        <v>0.18</v>
      </c>
      <c r="L123" s="26">
        <f t="shared" si="0"/>
        <v>205944</v>
      </c>
      <c r="M123" s="53">
        <f t="shared" si="1"/>
        <v>243014</v>
      </c>
    </row>
    <row r="124" spans="1:14" ht="30" customHeight="1" x14ac:dyDescent="0.3">
      <c r="B124" s="148"/>
      <c r="E124" s="61"/>
      <c r="F124" s="67" t="s">
        <v>90</v>
      </c>
      <c r="G124" s="68"/>
      <c r="H124" s="27">
        <f>ROUND(((40)*3.445),2)</f>
        <v>137.80000000000001</v>
      </c>
      <c r="I124" s="28" t="s">
        <v>3</v>
      </c>
      <c r="J124" s="29">
        <v>150</v>
      </c>
      <c r="K124" s="30">
        <v>0.18</v>
      </c>
      <c r="L124" s="31">
        <f t="shared" si="0"/>
        <v>20670</v>
      </c>
      <c r="M124" s="54">
        <f t="shared" si="1"/>
        <v>24391</v>
      </c>
    </row>
    <row r="125" spans="1:14" ht="30" customHeight="1" x14ac:dyDescent="0.3">
      <c r="B125" s="148"/>
      <c r="E125" s="61"/>
      <c r="F125" s="69" t="s">
        <v>91</v>
      </c>
      <c r="G125" s="70"/>
      <c r="H125" s="32">
        <f>ROUND(((500)*1),2)</f>
        <v>500</v>
      </c>
      <c r="I125" s="33" t="s">
        <v>33</v>
      </c>
      <c r="J125" s="34">
        <v>11</v>
      </c>
      <c r="K125" s="35">
        <v>0.18</v>
      </c>
      <c r="L125" s="36">
        <f t="shared" si="0"/>
        <v>5500</v>
      </c>
      <c r="M125" s="55">
        <f t="shared" si="1"/>
        <v>6490</v>
      </c>
    </row>
    <row r="126" spans="1:14" ht="15" customHeight="1" x14ac:dyDescent="0.3">
      <c r="B126" s="148"/>
      <c r="E126" s="62"/>
      <c r="F126" s="71" t="s">
        <v>106</v>
      </c>
      <c r="G126" s="72"/>
      <c r="H126" s="37">
        <f>ROUND(((240)*0.132)+((0+0)*0.132)+((0)*0.048)+((0+0+0)*0.027)+((7229)*0.035)+((104)*0.007)+((3500)*0.005)+((3480)*0.018)+((1306)*0.008),2)</f>
        <v>376.01</v>
      </c>
      <c r="I126" s="38" t="s">
        <v>108</v>
      </c>
      <c r="J126" s="39">
        <v>1</v>
      </c>
      <c r="K126" s="40">
        <v>0</v>
      </c>
      <c r="L126" s="41">
        <f t="shared" si="0"/>
        <v>376</v>
      </c>
      <c r="M126" s="56">
        <f t="shared" si="1"/>
        <v>376</v>
      </c>
    </row>
    <row r="127" spans="1:14" ht="45" customHeight="1" x14ac:dyDescent="0.3">
      <c r="B127" s="148"/>
      <c r="E127" s="64" t="s">
        <v>79</v>
      </c>
      <c r="F127" s="73" t="s">
        <v>109</v>
      </c>
      <c r="G127" s="74"/>
      <c r="H127" s="42">
        <f>ROUND(SUM(3.312),2)</f>
        <v>3.31</v>
      </c>
      <c r="I127" s="43" t="e">
        <f>#REF!</f>
        <v>#REF!</v>
      </c>
      <c r="J127" s="44">
        <v>0</v>
      </c>
      <c r="K127" s="45"/>
      <c r="L127" s="46">
        <f t="shared" si="0"/>
        <v>0</v>
      </c>
      <c r="M127" s="57">
        <f t="shared" si="1"/>
        <v>0</v>
      </c>
    </row>
    <row r="128" spans="1:14" ht="30" customHeight="1" x14ac:dyDescent="0.3">
      <c r="B128" s="148"/>
      <c r="E128" s="62"/>
      <c r="F128" s="65" t="s">
        <v>94</v>
      </c>
      <c r="G128" s="66"/>
      <c r="H128" s="17">
        <f>ROUND(SUM(10),2)</f>
        <v>10</v>
      </c>
      <c r="I128" s="18" t="str">
        <f>I102</f>
        <v>nos</v>
      </c>
      <c r="J128" s="19">
        <v>0</v>
      </c>
      <c r="K128" s="20"/>
      <c r="L128" s="21">
        <f t="shared" si="0"/>
        <v>0</v>
      </c>
      <c r="M128" s="52">
        <f t="shared" si="1"/>
        <v>0</v>
      </c>
    </row>
    <row r="129" spans="2:13" ht="17.399999999999999" x14ac:dyDescent="0.3">
      <c r="B129" s="148"/>
      <c r="E129"/>
      <c r="F129" s="47" t="s">
        <v>95</v>
      </c>
      <c r="G129" s="13"/>
      <c r="H129" s="13"/>
      <c r="I129" s="13"/>
      <c r="J129" s="13"/>
      <c r="K129" s="13"/>
      <c r="L129" s="15">
        <f>ROUND(SUM(L$116:INDEX(L:L,ROW()-1)),0)</f>
        <v>275327</v>
      </c>
      <c r="M129" s="58">
        <f>ROUND(SUM(M$116:INDEX(M:M,ROW()-1)),0)</f>
        <v>322580</v>
      </c>
    </row>
    <row r="130" spans="2:13" ht="18" x14ac:dyDescent="0.3">
      <c r="B130" s="148"/>
      <c r="E130"/>
      <c r="F130" s="48" t="s">
        <v>96</v>
      </c>
      <c r="G130" s="14"/>
      <c r="H130" s="14"/>
      <c r="I130" s="14"/>
      <c r="J130" s="14"/>
      <c r="K130" s="14"/>
      <c r="L130" s="16">
        <f>ROUND(L106,0)</f>
        <v>275491</v>
      </c>
      <c r="M130" s="59">
        <f>ROUND(L109,0)</f>
        <v>325080</v>
      </c>
    </row>
    <row r="131" spans="2:13" ht="18" thickBot="1" x14ac:dyDescent="0.35">
      <c r="B131" s="148"/>
      <c r="E131"/>
      <c r="F131" s="49" t="s">
        <v>97</v>
      </c>
      <c r="G131" s="50"/>
      <c r="H131" s="50"/>
      <c r="I131" s="50"/>
      <c r="J131" s="50"/>
      <c r="K131" s="50"/>
      <c r="L131" s="51">
        <f>ROUND(SUM(L$129:INDEX(L:L,ROW()-1)),0)</f>
        <v>550818</v>
      </c>
      <c r="M131" s="60">
        <f>ROUND(SUM(M$129:INDEX(M:M,ROW()-1)),0)</f>
        <v>647660</v>
      </c>
    </row>
    <row r="132" spans="2:13" ht="18" x14ac:dyDescent="0.3">
      <c r="B132" s="148"/>
      <c r="E132"/>
      <c r="F132" s="10"/>
      <c r="G132" s="10"/>
      <c r="H132" s="10"/>
      <c r="I132" s="11" t="s">
        <v>98</v>
      </c>
      <c r="J132" s="11"/>
      <c r="K132" s="11"/>
      <c r="L132" s="12" t="str">
        <f>IF(M131&gt;=10000000,ROUND(M131/10000000,2)&amp;" Crore",IF(M131&gt;=100000,ROUND(M131/100000,2)&amp;" Lakh",IF(M131&gt;=1000,ROUND(M131/1000,2)&amp;" Thousand",ROUND(M131,0)))) &amp; " Only"</f>
        <v>6.48 Lakh Only</v>
      </c>
      <c r="M132" s="12"/>
    </row>
    <row r="133" spans="2:13" x14ac:dyDescent="0.3">
      <c r="B133" s="148"/>
      <c r="E133"/>
      <c r="F133"/>
      <c r="G133"/>
      <c r="H133"/>
      <c r="I133"/>
      <c r="J133"/>
      <c r="K133"/>
      <c r="L133"/>
    </row>
    <row r="134" spans="2:13" x14ac:dyDescent="0.3">
      <c r="B134" s="148"/>
      <c r="E134"/>
      <c r="F134"/>
      <c r="G134"/>
      <c r="H134"/>
      <c r="I134"/>
      <c r="J134"/>
      <c r="K134"/>
      <c r="L134"/>
    </row>
    <row r="135" spans="2:13" x14ac:dyDescent="0.3">
      <c r="B135" s="148"/>
      <c r="E135"/>
      <c r="F135"/>
      <c r="G135"/>
      <c r="H135"/>
      <c r="I135"/>
      <c r="J135"/>
      <c r="K135"/>
      <c r="L135"/>
    </row>
    <row r="136" spans="2:13" hidden="1" x14ac:dyDescent="0.3">
      <c r="B136" s="148"/>
      <c r="E136"/>
      <c r="F136"/>
      <c r="G136"/>
      <c r="H136"/>
      <c r="I136"/>
      <c r="J136"/>
      <c r="K136"/>
      <c r="L136"/>
    </row>
    <row r="137" spans="2:13" hidden="1" x14ac:dyDescent="0.3">
      <c r="B137" s="148"/>
      <c r="E137"/>
      <c r="F137"/>
      <c r="G137"/>
      <c r="H137"/>
      <c r="I137"/>
      <c r="J137"/>
      <c r="K137"/>
      <c r="L137"/>
    </row>
    <row r="138" spans="2:13" hidden="1" x14ac:dyDescent="0.3">
      <c r="B138" s="148"/>
      <c r="E138"/>
      <c r="F138"/>
      <c r="G138"/>
      <c r="H138"/>
      <c r="I138"/>
      <c r="J138"/>
      <c r="K138"/>
      <c r="L138"/>
    </row>
    <row r="139" spans="2:13" hidden="1" x14ac:dyDescent="0.3">
      <c r="B139" s="148"/>
      <c r="E139"/>
      <c r="F139"/>
      <c r="G139"/>
      <c r="H139"/>
      <c r="I139"/>
      <c r="J139"/>
      <c r="K139"/>
      <c r="L139"/>
    </row>
    <row r="140" spans="2:13" hidden="1" x14ac:dyDescent="0.3">
      <c r="B140" s="148"/>
      <c r="E140"/>
      <c r="F140"/>
      <c r="G140"/>
      <c r="H140"/>
      <c r="I140"/>
      <c r="J140"/>
      <c r="K140"/>
      <c r="L140"/>
    </row>
    <row r="141" spans="2:13" hidden="1" x14ac:dyDescent="0.3">
      <c r="B141" s="148"/>
      <c r="E141"/>
      <c r="F141"/>
      <c r="G141"/>
      <c r="H141"/>
      <c r="I141"/>
      <c r="J141"/>
      <c r="K141"/>
      <c r="L141"/>
    </row>
    <row r="142" spans="2:13" hidden="1" x14ac:dyDescent="0.3">
      <c r="B142" s="148"/>
      <c r="E142"/>
      <c r="F142"/>
      <c r="G142"/>
      <c r="H142"/>
      <c r="I142"/>
      <c r="J142"/>
      <c r="K142"/>
      <c r="L142"/>
    </row>
    <row r="143" spans="2:13" hidden="1" x14ac:dyDescent="0.3">
      <c r="B143" s="148"/>
      <c r="E143"/>
      <c r="F143"/>
      <c r="G143"/>
      <c r="H143"/>
      <c r="I143"/>
      <c r="J143"/>
      <c r="K143"/>
      <c r="L143"/>
    </row>
    <row r="144" spans="2:13" hidden="1" x14ac:dyDescent="0.3">
      <c r="B144" s="148"/>
      <c r="E144"/>
      <c r="F144"/>
      <c r="G144"/>
      <c r="H144"/>
      <c r="I144"/>
      <c r="J144"/>
      <c r="K144"/>
      <c r="L144"/>
    </row>
    <row r="145" spans="2:12" hidden="1" x14ac:dyDescent="0.3">
      <c r="B145" s="148"/>
      <c r="E145"/>
      <c r="F145"/>
      <c r="G145"/>
      <c r="H145"/>
      <c r="I145"/>
      <c r="J145"/>
      <c r="K145"/>
      <c r="L145"/>
    </row>
    <row r="146" spans="2:12" hidden="1" x14ac:dyDescent="0.3">
      <c r="B146" s="148"/>
      <c r="E146"/>
      <c r="F146"/>
      <c r="G146"/>
      <c r="H146"/>
      <c r="I146"/>
      <c r="J146"/>
      <c r="K146"/>
      <c r="L146"/>
    </row>
    <row r="147" spans="2:12" hidden="1" x14ac:dyDescent="0.3">
      <c r="B147" s="148"/>
      <c r="E147"/>
      <c r="F147"/>
      <c r="G147"/>
      <c r="H147"/>
      <c r="I147"/>
      <c r="J147"/>
      <c r="K147"/>
      <c r="L147"/>
    </row>
    <row r="148" spans="2:12" hidden="1" x14ac:dyDescent="0.3">
      <c r="B148" s="148"/>
      <c r="E148"/>
      <c r="F148"/>
      <c r="G148"/>
      <c r="H148"/>
      <c r="I148"/>
      <c r="J148"/>
      <c r="K148"/>
      <c r="L148"/>
    </row>
    <row r="149" spans="2:12" hidden="1" x14ac:dyDescent="0.3">
      <c r="B149" s="148"/>
      <c r="E149"/>
      <c r="F149"/>
      <c r="G149"/>
      <c r="H149"/>
      <c r="I149"/>
      <c r="J149"/>
      <c r="K149"/>
      <c r="L149"/>
    </row>
    <row r="150" spans="2:12" hidden="1" x14ac:dyDescent="0.3">
      <c r="B150" s="148"/>
      <c r="E150"/>
      <c r="F150"/>
      <c r="G150"/>
      <c r="H150"/>
      <c r="I150"/>
      <c r="J150"/>
      <c r="K150"/>
      <c r="L150"/>
    </row>
    <row r="151" spans="2:12" hidden="1" x14ac:dyDescent="0.3">
      <c r="B151" s="148"/>
      <c r="E151"/>
      <c r="F151"/>
      <c r="G151"/>
      <c r="H151"/>
      <c r="I151"/>
      <c r="J151"/>
      <c r="K151"/>
      <c r="L151"/>
    </row>
    <row r="152" spans="2:12" hidden="1" x14ac:dyDescent="0.3">
      <c r="B152" s="148"/>
      <c r="E152"/>
      <c r="F152"/>
      <c r="G152"/>
      <c r="H152"/>
      <c r="I152"/>
      <c r="J152"/>
      <c r="K152"/>
      <c r="L152"/>
    </row>
    <row r="153" spans="2:12" hidden="1" x14ac:dyDescent="0.3">
      <c r="B153" s="148"/>
      <c r="E153"/>
      <c r="F153"/>
      <c r="G153"/>
      <c r="H153"/>
      <c r="I153"/>
      <c r="J153"/>
      <c r="K153"/>
      <c r="L153"/>
    </row>
    <row r="154" spans="2:12" hidden="1" x14ac:dyDescent="0.3">
      <c r="B154" s="148"/>
      <c r="E154"/>
      <c r="F154"/>
      <c r="G154"/>
      <c r="H154"/>
      <c r="I154"/>
      <c r="J154"/>
      <c r="K154"/>
      <c r="L154"/>
    </row>
    <row r="155" spans="2:12" hidden="1" x14ac:dyDescent="0.3">
      <c r="B155" s="148"/>
      <c r="E155"/>
      <c r="F155"/>
      <c r="G155"/>
      <c r="H155"/>
      <c r="I155"/>
      <c r="J155"/>
      <c r="K155"/>
      <c r="L155"/>
    </row>
    <row r="156" spans="2:12" hidden="1" x14ac:dyDescent="0.3">
      <c r="B156" s="148"/>
      <c r="E156"/>
      <c r="F156"/>
      <c r="G156"/>
      <c r="H156"/>
      <c r="I156"/>
      <c r="J156"/>
      <c r="K156"/>
      <c r="L156"/>
    </row>
    <row r="157" spans="2:12" hidden="1" x14ac:dyDescent="0.3">
      <c r="B157" s="148"/>
      <c r="E157"/>
      <c r="F157"/>
      <c r="G157"/>
      <c r="H157"/>
      <c r="I157"/>
      <c r="J157"/>
      <c r="K157"/>
      <c r="L157"/>
    </row>
    <row r="158" spans="2:12" hidden="1" x14ac:dyDescent="0.3">
      <c r="B158" s="148"/>
      <c r="E158"/>
      <c r="F158"/>
      <c r="G158"/>
      <c r="H158"/>
      <c r="I158"/>
      <c r="J158"/>
      <c r="K158"/>
      <c r="L158"/>
    </row>
    <row r="159" spans="2:12" hidden="1" x14ac:dyDescent="0.3">
      <c r="B159" s="148"/>
      <c r="E159"/>
      <c r="F159"/>
      <c r="G159"/>
      <c r="H159"/>
      <c r="I159"/>
      <c r="J159"/>
      <c r="K159"/>
      <c r="L159"/>
    </row>
    <row r="160" spans="2:12" hidden="1" x14ac:dyDescent="0.3">
      <c r="B160" s="148"/>
      <c r="E160"/>
      <c r="F160"/>
      <c r="G160"/>
      <c r="H160"/>
      <c r="I160"/>
      <c r="J160"/>
      <c r="K160"/>
      <c r="L160"/>
    </row>
    <row r="161" spans="2:12" hidden="1" x14ac:dyDescent="0.3">
      <c r="B161" s="148"/>
      <c r="E161"/>
      <c r="F161"/>
      <c r="G161"/>
      <c r="H161"/>
      <c r="I161"/>
      <c r="J161"/>
      <c r="K161"/>
      <c r="L161"/>
    </row>
    <row r="162" spans="2:12" hidden="1" x14ac:dyDescent="0.3">
      <c r="B162" s="148"/>
      <c r="E162"/>
      <c r="F162"/>
      <c r="G162"/>
      <c r="H162"/>
      <c r="I162"/>
      <c r="J162"/>
      <c r="K162"/>
      <c r="L162"/>
    </row>
    <row r="163" spans="2:12" hidden="1" x14ac:dyDescent="0.3">
      <c r="B163" s="148"/>
      <c r="E163"/>
      <c r="F163"/>
      <c r="G163"/>
      <c r="H163"/>
      <c r="I163"/>
      <c r="J163"/>
      <c r="K163"/>
      <c r="L163"/>
    </row>
    <row r="164" spans="2:12" hidden="1" x14ac:dyDescent="0.3">
      <c r="B164" s="148"/>
      <c r="E164"/>
      <c r="F164"/>
      <c r="G164"/>
      <c r="H164"/>
      <c r="I164"/>
      <c r="J164"/>
      <c r="K164"/>
      <c r="L164"/>
    </row>
    <row r="165" spans="2:12" hidden="1" x14ac:dyDescent="0.3">
      <c r="B165" s="148"/>
      <c r="E165"/>
      <c r="F165"/>
      <c r="G165"/>
      <c r="H165"/>
      <c r="I165"/>
      <c r="J165"/>
      <c r="K165"/>
      <c r="L165"/>
    </row>
    <row r="166" spans="2:12" hidden="1" x14ac:dyDescent="0.3">
      <c r="B166" s="148"/>
      <c r="E166"/>
      <c r="F166"/>
      <c r="G166"/>
      <c r="H166"/>
      <c r="I166"/>
      <c r="J166"/>
      <c r="K166"/>
      <c r="L166"/>
    </row>
    <row r="167" spans="2:12" hidden="1" x14ac:dyDescent="0.3">
      <c r="B167" s="148"/>
      <c r="E167"/>
      <c r="F167"/>
      <c r="G167"/>
      <c r="H167"/>
      <c r="I167"/>
      <c r="J167"/>
      <c r="K167"/>
      <c r="L167"/>
    </row>
    <row r="168" spans="2:12" hidden="1" x14ac:dyDescent="0.3">
      <c r="B168" s="148"/>
      <c r="E168"/>
      <c r="F168"/>
      <c r="G168"/>
      <c r="H168"/>
      <c r="I168"/>
      <c r="J168"/>
      <c r="K168"/>
      <c r="L168"/>
    </row>
    <row r="169" spans="2:12" hidden="1" x14ac:dyDescent="0.3">
      <c r="B169" s="148"/>
      <c r="E169"/>
      <c r="F169"/>
      <c r="G169"/>
      <c r="H169"/>
      <c r="I169"/>
      <c r="J169"/>
      <c r="K169"/>
      <c r="L169"/>
    </row>
    <row r="170" spans="2:12" hidden="1" x14ac:dyDescent="0.3">
      <c r="B170" s="148"/>
      <c r="E170"/>
      <c r="F170"/>
      <c r="G170"/>
      <c r="H170"/>
      <c r="I170"/>
      <c r="J170"/>
      <c r="K170"/>
      <c r="L170"/>
    </row>
    <row r="171" spans="2:12" hidden="1" x14ac:dyDescent="0.3">
      <c r="B171" s="148"/>
      <c r="E171"/>
      <c r="F171"/>
      <c r="G171"/>
      <c r="H171"/>
      <c r="I171"/>
      <c r="J171"/>
      <c r="K171"/>
      <c r="L171"/>
    </row>
    <row r="172" spans="2:12" hidden="1" x14ac:dyDescent="0.3">
      <c r="B172" s="148"/>
      <c r="E172"/>
      <c r="F172"/>
      <c r="G172"/>
      <c r="H172"/>
      <c r="I172"/>
      <c r="J172"/>
      <c r="K172"/>
      <c r="L172"/>
    </row>
    <row r="173" spans="2:12" hidden="1" x14ac:dyDescent="0.3">
      <c r="B173" s="148"/>
      <c r="E173"/>
      <c r="F173"/>
      <c r="G173"/>
      <c r="H173"/>
      <c r="I173"/>
      <c r="J173"/>
      <c r="K173"/>
      <c r="L173"/>
    </row>
    <row r="174" spans="2:12" hidden="1" x14ac:dyDescent="0.3">
      <c r="B174" s="148"/>
      <c r="E174"/>
      <c r="F174"/>
      <c r="G174"/>
      <c r="H174"/>
      <c r="I174"/>
      <c r="J174"/>
      <c r="K174"/>
      <c r="L174"/>
    </row>
    <row r="175" spans="2:12" hidden="1" x14ac:dyDescent="0.3">
      <c r="B175" s="148"/>
      <c r="E175"/>
      <c r="F175"/>
      <c r="G175"/>
      <c r="H175"/>
      <c r="I175"/>
      <c r="J175"/>
      <c r="K175"/>
      <c r="L175"/>
    </row>
    <row r="176" spans="2:12" hidden="1" x14ac:dyDescent="0.3">
      <c r="B176" s="148"/>
      <c r="E176"/>
      <c r="F176"/>
      <c r="G176"/>
      <c r="H176"/>
      <c r="I176"/>
      <c r="J176"/>
      <c r="K176"/>
      <c r="L176"/>
    </row>
    <row r="177" spans="2:12" hidden="1" x14ac:dyDescent="0.3">
      <c r="B177" s="148"/>
      <c r="E177"/>
      <c r="F177"/>
      <c r="G177"/>
      <c r="H177"/>
      <c r="I177"/>
      <c r="J177"/>
      <c r="K177"/>
      <c r="L177"/>
    </row>
    <row r="178" spans="2:12" hidden="1" x14ac:dyDescent="0.3">
      <c r="B178" s="148"/>
      <c r="E178"/>
      <c r="F178"/>
      <c r="G178"/>
      <c r="H178"/>
      <c r="I178"/>
      <c r="J178"/>
      <c r="K178"/>
      <c r="L178"/>
    </row>
    <row r="179" spans="2:12" hidden="1" x14ac:dyDescent="0.3">
      <c r="B179" s="148"/>
      <c r="E179"/>
      <c r="F179"/>
      <c r="G179"/>
      <c r="H179"/>
      <c r="I179"/>
      <c r="J179"/>
      <c r="K179"/>
      <c r="L179"/>
    </row>
    <row r="180" spans="2:12" hidden="1" x14ac:dyDescent="0.3">
      <c r="B180" s="148"/>
      <c r="E180"/>
      <c r="F180"/>
      <c r="G180"/>
      <c r="H180"/>
      <c r="I180"/>
      <c r="J180"/>
      <c r="K180"/>
      <c r="L180"/>
    </row>
    <row r="181" spans="2:12" hidden="1" x14ac:dyDescent="0.3">
      <c r="B181" s="148"/>
      <c r="E181"/>
      <c r="F181"/>
      <c r="G181"/>
      <c r="H181"/>
      <c r="I181"/>
      <c r="J181"/>
      <c r="K181"/>
      <c r="L181"/>
    </row>
    <row r="182" spans="2:12" hidden="1" x14ac:dyDescent="0.3">
      <c r="B182" s="148"/>
      <c r="E182"/>
      <c r="F182"/>
      <c r="G182"/>
      <c r="H182"/>
      <c r="I182"/>
      <c r="J182"/>
      <c r="K182"/>
      <c r="L182"/>
    </row>
    <row r="183" spans="2:12" hidden="1" x14ac:dyDescent="0.3">
      <c r="B183" s="148"/>
      <c r="E183"/>
      <c r="F183"/>
      <c r="G183"/>
      <c r="H183"/>
      <c r="I183"/>
      <c r="J183"/>
      <c r="K183"/>
      <c r="L183"/>
    </row>
    <row r="184" spans="2:12" hidden="1" x14ac:dyDescent="0.3">
      <c r="B184" s="148"/>
      <c r="E184"/>
      <c r="F184"/>
      <c r="G184"/>
      <c r="H184"/>
      <c r="I184"/>
      <c r="J184"/>
      <c r="K184"/>
      <c r="L184"/>
    </row>
    <row r="185" spans="2:12" hidden="1" x14ac:dyDescent="0.3">
      <c r="B185" s="148"/>
      <c r="E185"/>
      <c r="F185"/>
      <c r="G185"/>
      <c r="H185"/>
      <c r="I185"/>
      <c r="J185"/>
      <c r="K185"/>
      <c r="L185"/>
    </row>
    <row r="186" spans="2:12" hidden="1" x14ac:dyDescent="0.3">
      <c r="B186" s="148"/>
      <c r="E186"/>
      <c r="F186"/>
      <c r="G186"/>
      <c r="H186"/>
      <c r="I186"/>
      <c r="J186"/>
      <c r="K186"/>
      <c r="L186"/>
    </row>
    <row r="187" spans="2:12" hidden="1" x14ac:dyDescent="0.3">
      <c r="B187" s="148"/>
      <c r="E187"/>
      <c r="F187"/>
      <c r="G187"/>
      <c r="H187"/>
      <c r="I187"/>
      <c r="J187"/>
      <c r="K187"/>
      <c r="L187"/>
    </row>
    <row r="188" spans="2:12" hidden="1" x14ac:dyDescent="0.3">
      <c r="B188" s="148"/>
      <c r="E188"/>
      <c r="F188"/>
      <c r="G188"/>
      <c r="H188"/>
      <c r="I188"/>
      <c r="J188"/>
      <c r="K188"/>
      <c r="L188"/>
    </row>
    <row r="189" spans="2:12" hidden="1" x14ac:dyDescent="0.3">
      <c r="B189" s="148"/>
      <c r="E189"/>
      <c r="F189"/>
      <c r="G189"/>
      <c r="H189"/>
      <c r="I189"/>
      <c r="J189"/>
      <c r="K189"/>
      <c r="L189"/>
    </row>
    <row r="190" spans="2:12" hidden="1" x14ac:dyDescent="0.3">
      <c r="B190" s="148"/>
      <c r="E190"/>
      <c r="F190"/>
      <c r="G190"/>
      <c r="H190"/>
      <c r="I190"/>
      <c r="J190"/>
      <c r="K190"/>
      <c r="L190"/>
    </row>
    <row r="191" spans="2:12" hidden="1" x14ac:dyDescent="0.3">
      <c r="B191" s="148"/>
      <c r="E191"/>
      <c r="F191"/>
      <c r="G191"/>
      <c r="H191"/>
      <c r="I191"/>
      <c r="J191"/>
      <c r="K191"/>
      <c r="L191"/>
    </row>
    <row r="192" spans="2:12" hidden="1" x14ac:dyDescent="0.3">
      <c r="B192" s="148"/>
      <c r="E192"/>
      <c r="F192"/>
      <c r="G192"/>
      <c r="H192"/>
      <c r="I192"/>
      <c r="J192"/>
      <c r="K192"/>
      <c r="L192"/>
    </row>
    <row r="193" spans="2:12" hidden="1" x14ac:dyDescent="0.3">
      <c r="B193" s="148"/>
      <c r="E193"/>
      <c r="F193"/>
      <c r="G193"/>
      <c r="H193"/>
      <c r="I193"/>
      <c r="J193"/>
      <c r="K193"/>
      <c r="L193"/>
    </row>
    <row r="194" spans="2:12" hidden="1" x14ac:dyDescent="0.3">
      <c r="B194" s="148"/>
      <c r="E194"/>
      <c r="F194"/>
      <c r="G194"/>
      <c r="H194"/>
      <c r="I194"/>
      <c r="J194"/>
      <c r="K194"/>
      <c r="L194"/>
    </row>
    <row r="195" spans="2:12" hidden="1" x14ac:dyDescent="0.3">
      <c r="B195" s="148"/>
      <c r="E195"/>
      <c r="F195"/>
      <c r="G195"/>
      <c r="H195"/>
      <c r="I195"/>
      <c r="J195"/>
      <c r="K195"/>
      <c r="L195"/>
    </row>
    <row r="196" spans="2:12" hidden="1" x14ac:dyDescent="0.3">
      <c r="B196" s="148"/>
      <c r="E196"/>
      <c r="F196"/>
      <c r="G196"/>
      <c r="H196"/>
      <c r="I196"/>
      <c r="J196"/>
      <c r="K196"/>
      <c r="L196"/>
    </row>
    <row r="197" spans="2:12" hidden="1" x14ac:dyDescent="0.3">
      <c r="B197" s="148"/>
      <c r="E197"/>
      <c r="F197"/>
      <c r="G197"/>
      <c r="H197"/>
      <c r="I197"/>
      <c r="J197"/>
      <c r="K197"/>
      <c r="L197"/>
    </row>
    <row r="198" spans="2:12" hidden="1" x14ac:dyDescent="0.3">
      <c r="B198" s="148"/>
      <c r="E198"/>
      <c r="F198"/>
      <c r="G198"/>
      <c r="H198"/>
      <c r="I198"/>
      <c r="J198"/>
      <c r="K198"/>
      <c r="L198"/>
    </row>
    <row r="199" spans="2:12" hidden="1" x14ac:dyDescent="0.3">
      <c r="B199" s="148"/>
      <c r="E199"/>
      <c r="F199"/>
      <c r="G199"/>
      <c r="H199"/>
      <c r="I199"/>
      <c r="J199"/>
      <c r="K199"/>
      <c r="L199"/>
    </row>
    <row r="200" spans="2:12" hidden="1" x14ac:dyDescent="0.3">
      <c r="B200" s="148"/>
      <c r="E200"/>
      <c r="F200"/>
      <c r="G200"/>
      <c r="H200"/>
      <c r="I200"/>
      <c r="J200"/>
      <c r="K200"/>
      <c r="L200"/>
    </row>
    <row r="201" spans="2:12" hidden="1" x14ac:dyDescent="0.3">
      <c r="B201" s="148"/>
      <c r="E201"/>
      <c r="F201"/>
      <c r="G201"/>
      <c r="H201"/>
      <c r="I201"/>
      <c r="J201"/>
      <c r="K201"/>
      <c r="L201"/>
    </row>
    <row r="202" spans="2:12" hidden="1" x14ac:dyDescent="0.3">
      <c r="B202" s="148"/>
      <c r="E202"/>
      <c r="F202"/>
      <c r="G202"/>
      <c r="H202"/>
      <c r="I202"/>
      <c r="J202"/>
      <c r="K202"/>
      <c r="L202"/>
    </row>
    <row r="203" spans="2:12" hidden="1" x14ac:dyDescent="0.3">
      <c r="B203" s="148"/>
      <c r="E203"/>
      <c r="F203"/>
      <c r="G203"/>
      <c r="H203"/>
      <c r="I203"/>
      <c r="J203"/>
      <c r="K203"/>
      <c r="L203"/>
    </row>
    <row r="204" spans="2:12" hidden="1" x14ac:dyDescent="0.3">
      <c r="B204" s="148"/>
      <c r="E204"/>
      <c r="F204"/>
      <c r="G204"/>
      <c r="H204"/>
      <c r="I204"/>
      <c r="J204"/>
      <c r="K204"/>
      <c r="L204"/>
    </row>
    <row r="205" spans="2:12" hidden="1" x14ac:dyDescent="0.3">
      <c r="B205" s="148"/>
      <c r="E205"/>
      <c r="F205"/>
      <c r="G205"/>
      <c r="H205"/>
      <c r="I205"/>
      <c r="J205"/>
      <c r="K205"/>
      <c r="L205"/>
    </row>
    <row r="206" spans="2:12" hidden="1" x14ac:dyDescent="0.3">
      <c r="B206" s="148"/>
      <c r="E206"/>
      <c r="F206"/>
      <c r="G206"/>
      <c r="H206"/>
      <c r="I206"/>
      <c r="J206"/>
      <c r="K206"/>
      <c r="L206"/>
    </row>
    <row r="207" spans="2:12" hidden="1" x14ac:dyDescent="0.3">
      <c r="B207" s="148"/>
      <c r="E207"/>
      <c r="F207"/>
      <c r="G207"/>
      <c r="H207"/>
      <c r="I207"/>
      <c r="J207"/>
      <c r="K207"/>
      <c r="L207"/>
    </row>
    <row r="208" spans="2:12" hidden="1" x14ac:dyDescent="0.3">
      <c r="B208" s="148"/>
      <c r="E208"/>
      <c r="F208"/>
      <c r="G208"/>
      <c r="H208"/>
      <c r="I208"/>
      <c r="J208"/>
      <c r="K208"/>
      <c r="L208"/>
    </row>
    <row r="209" spans="2:12" hidden="1" x14ac:dyDescent="0.3">
      <c r="B209" s="148"/>
      <c r="E209"/>
      <c r="F209"/>
      <c r="G209"/>
      <c r="H209"/>
      <c r="I209"/>
      <c r="J209"/>
      <c r="K209"/>
      <c r="L209"/>
    </row>
    <row r="210" spans="2:12" hidden="1" x14ac:dyDescent="0.3">
      <c r="B210" s="148"/>
      <c r="E210"/>
      <c r="F210"/>
      <c r="G210"/>
      <c r="H210"/>
      <c r="I210"/>
      <c r="J210"/>
      <c r="K210"/>
      <c r="L210"/>
    </row>
    <row r="211" spans="2:12" hidden="1" x14ac:dyDescent="0.3">
      <c r="B211" s="148"/>
      <c r="E211"/>
      <c r="F211"/>
      <c r="G211"/>
      <c r="H211"/>
      <c r="I211"/>
      <c r="J211"/>
      <c r="K211"/>
      <c r="L211"/>
    </row>
    <row r="212" spans="2:12" hidden="1" x14ac:dyDescent="0.3">
      <c r="B212" s="148"/>
      <c r="E212"/>
      <c r="F212"/>
      <c r="G212"/>
      <c r="H212"/>
      <c r="I212"/>
      <c r="J212"/>
      <c r="K212"/>
      <c r="L212"/>
    </row>
    <row r="213" spans="2:12" hidden="1" x14ac:dyDescent="0.3">
      <c r="B213" s="148"/>
      <c r="E213"/>
      <c r="F213"/>
      <c r="G213"/>
      <c r="H213"/>
      <c r="I213"/>
      <c r="J213"/>
      <c r="K213"/>
      <c r="L213"/>
    </row>
    <row r="214" spans="2:12" hidden="1" x14ac:dyDescent="0.3">
      <c r="B214" s="148"/>
      <c r="E214"/>
      <c r="F214"/>
      <c r="G214"/>
      <c r="H214"/>
      <c r="I214"/>
      <c r="J214"/>
      <c r="K214"/>
      <c r="L214"/>
    </row>
    <row r="215" spans="2:12" hidden="1" x14ac:dyDescent="0.3">
      <c r="B215" s="148"/>
      <c r="E215"/>
      <c r="F215"/>
      <c r="G215"/>
      <c r="H215"/>
      <c r="I215"/>
      <c r="J215"/>
      <c r="K215"/>
      <c r="L215"/>
    </row>
    <row r="216" spans="2:12" hidden="1" x14ac:dyDescent="0.3">
      <c r="B216" s="148"/>
    </row>
    <row r="217" spans="2:12" hidden="1" x14ac:dyDescent="0.3">
      <c r="B217" s="148"/>
    </row>
    <row r="218" spans="2:12" hidden="1" x14ac:dyDescent="0.3">
      <c r="B218" s="148"/>
    </row>
    <row r="219" spans="2:12" hidden="1" x14ac:dyDescent="0.3">
      <c r="B219" s="148"/>
    </row>
    <row r="220" spans="2:12" hidden="1" x14ac:dyDescent="0.3">
      <c r="B220" s="148"/>
    </row>
    <row r="221" spans="2:12" hidden="1" x14ac:dyDescent="0.3">
      <c r="B221" s="148"/>
    </row>
    <row r="222" spans="2:12" hidden="1" x14ac:dyDescent="0.3">
      <c r="B222" s="148"/>
    </row>
    <row r="223" spans="2:12" hidden="1" x14ac:dyDescent="0.3">
      <c r="B223" s="148"/>
    </row>
    <row r="224" spans="2:12" hidden="1" x14ac:dyDescent="0.3">
      <c r="B224" s="148"/>
    </row>
    <row r="225" spans="2:2" hidden="1" x14ac:dyDescent="0.3">
      <c r="B225" s="148"/>
    </row>
    <row r="226" spans="2:2" hidden="1" x14ac:dyDescent="0.3">
      <c r="B226" s="148"/>
    </row>
    <row r="227" spans="2:2" hidden="1" x14ac:dyDescent="0.3">
      <c r="B227" s="148"/>
    </row>
    <row r="228" spans="2:2" hidden="1" x14ac:dyDescent="0.3">
      <c r="B228" s="148"/>
    </row>
    <row r="229" spans="2:2" hidden="1" x14ac:dyDescent="0.3">
      <c r="B229" s="148"/>
    </row>
    <row r="230" spans="2:2" hidden="1" x14ac:dyDescent="0.3">
      <c r="B230" s="148"/>
    </row>
    <row r="231" spans="2:2" hidden="1" x14ac:dyDescent="0.3">
      <c r="B231" s="148"/>
    </row>
    <row r="232" spans="2:2" hidden="1" x14ac:dyDescent="0.3">
      <c r="B232" s="148"/>
    </row>
    <row r="233" spans="2:2" hidden="1" x14ac:dyDescent="0.3">
      <c r="B233" s="148"/>
    </row>
    <row r="234" spans="2:2" hidden="1" x14ac:dyDescent="0.3">
      <c r="B234" s="148"/>
    </row>
    <row r="235" spans="2:2" hidden="1" x14ac:dyDescent="0.3">
      <c r="B235" s="148"/>
    </row>
    <row r="236" spans="2:2" hidden="1" x14ac:dyDescent="0.3">
      <c r="B236" s="148"/>
    </row>
    <row r="237" spans="2:2" hidden="1" x14ac:dyDescent="0.3">
      <c r="B237" s="148"/>
    </row>
    <row r="238" spans="2:2" hidden="1" x14ac:dyDescent="0.3">
      <c r="B238" s="148"/>
    </row>
    <row r="239" spans="2:2" hidden="1" x14ac:dyDescent="0.3">
      <c r="B239" s="148"/>
    </row>
    <row r="240" spans="2:2" hidden="1" x14ac:dyDescent="0.3">
      <c r="B240" s="148"/>
    </row>
    <row r="241" spans="2:2" hidden="1" x14ac:dyDescent="0.3">
      <c r="B241" s="148"/>
    </row>
    <row r="242" spans="2:2" hidden="1" x14ac:dyDescent="0.3">
      <c r="B242" s="148"/>
    </row>
    <row r="243" spans="2:2" hidden="1" x14ac:dyDescent="0.3">
      <c r="B243" s="148"/>
    </row>
    <row r="244" spans="2:2" hidden="1" x14ac:dyDescent="0.3">
      <c r="B244" s="148"/>
    </row>
    <row r="245" spans="2:2" hidden="1" x14ac:dyDescent="0.3">
      <c r="B245" s="148"/>
    </row>
    <row r="246" spans="2:2" hidden="1" x14ac:dyDescent="0.3">
      <c r="B246" s="148"/>
    </row>
    <row r="247" spans="2:2" hidden="1" x14ac:dyDescent="0.3">
      <c r="B247" s="148"/>
    </row>
    <row r="248" spans="2:2" hidden="1" x14ac:dyDescent="0.3">
      <c r="B248" s="148"/>
    </row>
    <row r="249" spans="2:2" hidden="1" x14ac:dyDescent="0.3">
      <c r="B249" s="148"/>
    </row>
    <row r="250" spans="2:2" hidden="1" x14ac:dyDescent="0.3">
      <c r="B250" s="148"/>
    </row>
    <row r="251" spans="2:2" hidden="1" x14ac:dyDescent="0.3">
      <c r="B251" s="148"/>
    </row>
    <row r="252" spans="2:2" hidden="1" x14ac:dyDescent="0.3">
      <c r="B252" s="148"/>
    </row>
    <row r="253" spans="2:2" hidden="1" x14ac:dyDescent="0.3">
      <c r="B253" s="148"/>
    </row>
    <row r="254" spans="2:2" hidden="1" x14ac:dyDescent="0.3">
      <c r="B254" s="148"/>
    </row>
    <row r="255" spans="2:2" hidden="1" x14ac:dyDescent="0.3">
      <c r="B255" s="148"/>
    </row>
    <row r="256" spans="2:2" hidden="1" x14ac:dyDescent="0.3">
      <c r="B256" s="148"/>
    </row>
    <row r="257" spans="2:2" hidden="1" x14ac:dyDescent="0.3">
      <c r="B257" s="148"/>
    </row>
    <row r="258" spans="2:2" hidden="1" x14ac:dyDescent="0.3">
      <c r="B258" s="148"/>
    </row>
    <row r="259" spans="2:2" hidden="1" x14ac:dyDescent="0.3">
      <c r="B259" s="148"/>
    </row>
    <row r="260" spans="2:2" hidden="1" x14ac:dyDescent="0.3">
      <c r="B260" s="148"/>
    </row>
    <row r="261" spans="2:2" hidden="1" x14ac:dyDescent="0.3">
      <c r="B261" s="148"/>
    </row>
    <row r="262" spans="2:2" hidden="1" x14ac:dyDescent="0.3">
      <c r="B262" s="148"/>
    </row>
    <row r="263" spans="2:2" hidden="1" x14ac:dyDescent="0.3">
      <c r="B263" s="148"/>
    </row>
    <row r="264" spans="2:2" hidden="1" x14ac:dyDescent="0.3">
      <c r="B264" s="148"/>
    </row>
    <row r="265" spans="2:2" hidden="1" x14ac:dyDescent="0.3">
      <c r="B265" s="148"/>
    </row>
    <row r="266" spans="2:2" hidden="1" x14ac:dyDescent="0.3">
      <c r="B266" s="148"/>
    </row>
    <row r="267" spans="2:2" hidden="1" x14ac:dyDescent="0.3">
      <c r="B267" s="148"/>
    </row>
    <row r="268" spans="2:2" hidden="1" x14ac:dyDescent="0.3">
      <c r="B268" s="148"/>
    </row>
    <row r="269" spans="2:2" hidden="1" x14ac:dyDescent="0.3">
      <c r="B269" s="148"/>
    </row>
    <row r="270" spans="2:2" hidden="1" x14ac:dyDescent="0.3">
      <c r="B270" s="148"/>
    </row>
    <row r="271" spans="2:2" hidden="1" x14ac:dyDescent="0.3">
      <c r="B271" s="148"/>
    </row>
    <row r="272" spans="2:2" hidden="1" x14ac:dyDescent="0.3">
      <c r="B272" s="148"/>
    </row>
    <row r="273" spans="2:2" hidden="1" x14ac:dyDescent="0.3">
      <c r="B273" s="148"/>
    </row>
    <row r="274" spans="2:2" hidden="1" x14ac:dyDescent="0.3">
      <c r="B274" s="148"/>
    </row>
    <row r="275" spans="2:2" hidden="1" x14ac:dyDescent="0.3">
      <c r="B275" s="148"/>
    </row>
    <row r="276" spans="2:2" hidden="1" x14ac:dyDescent="0.3">
      <c r="B276" s="148"/>
    </row>
    <row r="277" spans="2:2" hidden="1" x14ac:dyDescent="0.3">
      <c r="B277" s="148"/>
    </row>
    <row r="278" spans="2:2" hidden="1" x14ac:dyDescent="0.3">
      <c r="B278" s="148"/>
    </row>
    <row r="279" spans="2:2" hidden="1" x14ac:dyDescent="0.3">
      <c r="B279" s="148"/>
    </row>
    <row r="280" spans="2:2" hidden="1" x14ac:dyDescent="0.3">
      <c r="B280" s="148"/>
    </row>
    <row r="281" spans="2:2" hidden="1" x14ac:dyDescent="0.3">
      <c r="B281" s="148"/>
    </row>
    <row r="282" spans="2:2" hidden="1" x14ac:dyDescent="0.3">
      <c r="B282" s="148"/>
    </row>
    <row r="283" spans="2:2" hidden="1" x14ac:dyDescent="0.3">
      <c r="B283" s="148"/>
    </row>
    <row r="284" spans="2:2" hidden="1" x14ac:dyDescent="0.3">
      <c r="B284" s="148"/>
    </row>
    <row r="285" spans="2:2" hidden="1" x14ac:dyDescent="0.3">
      <c r="B285" s="148"/>
    </row>
    <row r="286" spans="2:2" hidden="1" x14ac:dyDescent="0.3">
      <c r="B286" s="148"/>
    </row>
    <row r="287" spans="2:2" hidden="1" x14ac:dyDescent="0.3">
      <c r="B287" s="148"/>
    </row>
    <row r="288" spans="2:2" hidden="1" x14ac:dyDescent="0.3">
      <c r="B288" s="148"/>
    </row>
    <row r="289" spans="2:2" hidden="1" x14ac:dyDescent="0.3">
      <c r="B289" s="148"/>
    </row>
    <row r="290" spans="2:2" hidden="1" x14ac:dyDescent="0.3">
      <c r="B290" s="148"/>
    </row>
    <row r="291" spans="2:2" hidden="1" x14ac:dyDescent="0.3">
      <c r="B291" s="148"/>
    </row>
    <row r="292" spans="2:2" hidden="1" x14ac:dyDescent="0.3">
      <c r="B292" s="148"/>
    </row>
    <row r="293" spans="2:2" hidden="1" x14ac:dyDescent="0.3">
      <c r="B293" s="148"/>
    </row>
    <row r="294" spans="2:2" hidden="1" x14ac:dyDescent="0.3">
      <c r="B294" s="148"/>
    </row>
    <row r="295" spans="2:2" hidden="1" x14ac:dyDescent="0.3">
      <c r="B295" s="148"/>
    </row>
    <row r="296" spans="2:2" hidden="1" x14ac:dyDescent="0.3">
      <c r="B296" s="148"/>
    </row>
    <row r="297" spans="2:2" hidden="1" x14ac:dyDescent="0.3">
      <c r="B297" s="148"/>
    </row>
    <row r="298" spans="2:2" hidden="1" x14ac:dyDescent="0.3">
      <c r="B298" s="148"/>
    </row>
    <row r="299" spans="2:2" hidden="1" x14ac:dyDescent="0.3">
      <c r="B299" s="148"/>
    </row>
    <row r="300" spans="2:2" hidden="1" x14ac:dyDescent="0.3">
      <c r="B300" s="148"/>
    </row>
    <row r="301" spans="2:2" hidden="1" x14ac:dyDescent="0.3">
      <c r="B301" s="148"/>
    </row>
    <row r="302" spans="2:2" hidden="1" x14ac:dyDescent="0.3">
      <c r="B302" s="148"/>
    </row>
    <row r="303" spans="2:2" hidden="1" x14ac:dyDescent="0.3">
      <c r="B303" s="148"/>
    </row>
    <row r="304" spans="2:2" hidden="1" x14ac:dyDescent="0.3">
      <c r="B304" s="148"/>
    </row>
    <row r="305" spans="2:2" hidden="1" x14ac:dyDescent="0.3">
      <c r="B305" s="148"/>
    </row>
    <row r="306" spans="2:2" hidden="1" x14ac:dyDescent="0.3">
      <c r="B306" s="148"/>
    </row>
    <row r="307" spans="2:2" hidden="1" x14ac:dyDescent="0.3">
      <c r="B307" s="148"/>
    </row>
    <row r="308" spans="2:2" hidden="1" x14ac:dyDescent="0.3">
      <c r="B308" s="148"/>
    </row>
    <row r="309" spans="2:2" hidden="1" x14ac:dyDescent="0.3">
      <c r="B309" s="148"/>
    </row>
    <row r="310" spans="2:2" hidden="1" x14ac:dyDescent="0.3">
      <c r="B310" s="148"/>
    </row>
    <row r="311" spans="2:2" hidden="1" x14ac:dyDescent="0.3">
      <c r="B311" s="148"/>
    </row>
    <row r="312" spans="2:2" hidden="1" x14ac:dyDescent="0.3">
      <c r="B312" s="148"/>
    </row>
    <row r="313" spans="2:2" hidden="1" x14ac:dyDescent="0.3">
      <c r="B313" s="148"/>
    </row>
    <row r="314" spans="2:2" hidden="1" x14ac:dyDescent="0.3">
      <c r="B314" s="148"/>
    </row>
    <row r="315" spans="2:2" hidden="1" x14ac:dyDescent="0.3">
      <c r="B315" s="148"/>
    </row>
    <row r="316" spans="2:2" hidden="1" x14ac:dyDescent="0.3">
      <c r="B316" s="148"/>
    </row>
    <row r="317" spans="2:2" hidden="1" x14ac:dyDescent="0.3">
      <c r="B317" s="148"/>
    </row>
    <row r="318" spans="2:2" hidden="1" x14ac:dyDescent="0.3">
      <c r="B318" s="148"/>
    </row>
    <row r="319" spans="2:2" hidden="1" x14ac:dyDescent="0.3">
      <c r="B319" s="148"/>
    </row>
    <row r="320" spans="2:2" hidden="1" x14ac:dyDescent="0.3">
      <c r="B320" s="148"/>
    </row>
    <row r="321" spans="2:2" hidden="1" x14ac:dyDescent="0.3">
      <c r="B321" s="148"/>
    </row>
    <row r="322" spans="2:2" hidden="1" x14ac:dyDescent="0.3">
      <c r="B322" s="148"/>
    </row>
    <row r="323" spans="2:2" hidden="1" x14ac:dyDescent="0.3">
      <c r="B323" s="148"/>
    </row>
    <row r="324" spans="2:2" hidden="1" x14ac:dyDescent="0.3">
      <c r="B324" s="148"/>
    </row>
    <row r="325" spans="2:2" hidden="1" x14ac:dyDescent="0.3">
      <c r="B325" s="148"/>
    </row>
    <row r="326" spans="2:2" hidden="1" x14ac:dyDescent="0.3">
      <c r="B326" s="148"/>
    </row>
    <row r="327" spans="2:2" hidden="1" x14ac:dyDescent="0.3">
      <c r="B327" s="148"/>
    </row>
    <row r="328" spans="2:2" hidden="1" x14ac:dyDescent="0.3">
      <c r="B328" s="148"/>
    </row>
    <row r="329" spans="2:2" hidden="1" x14ac:dyDescent="0.3">
      <c r="B329" s="148"/>
    </row>
    <row r="330" spans="2:2" hidden="1" x14ac:dyDescent="0.3">
      <c r="B330" s="148"/>
    </row>
    <row r="331" spans="2:2" hidden="1" x14ac:dyDescent="0.3">
      <c r="B331" s="148"/>
    </row>
    <row r="332" spans="2:2" hidden="1" x14ac:dyDescent="0.3">
      <c r="B332" s="148"/>
    </row>
    <row r="333" spans="2:2" hidden="1" x14ac:dyDescent="0.3">
      <c r="B333" s="148"/>
    </row>
    <row r="334" spans="2:2" hidden="1" x14ac:dyDescent="0.3">
      <c r="B334" s="148"/>
    </row>
    <row r="335" spans="2:2" hidden="1" x14ac:dyDescent="0.3">
      <c r="B335" s="148"/>
    </row>
    <row r="336" spans="2:2" hidden="1" x14ac:dyDescent="0.3">
      <c r="B336" s="148"/>
    </row>
    <row r="337" spans="2:2" hidden="1" x14ac:dyDescent="0.3">
      <c r="B337" s="148"/>
    </row>
    <row r="338" spans="2:2" hidden="1" x14ac:dyDescent="0.3">
      <c r="B338" s="148"/>
    </row>
    <row r="339" spans="2:2" hidden="1" x14ac:dyDescent="0.3">
      <c r="B339" s="148"/>
    </row>
    <row r="340" spans="2:2" hidden="1" x14ac:dyDescent="0.3">
      <c r="B340" s="148"/>
    </row>
    <row r="341" spans="2:2" hidden="1" x14ac:dyDescent="0.3">
      <c r="B341" s="148"/>
    </row>
    <row r="342" spans="2:2" hidden="1" x14ac:dyDescent="0.3">
      <c r="B342" s="148"/>
    </row>
    <row r="343" spans="2:2" hidden="1" x14ac:dyDescent="0.3">
      <c r="B343" s="148"/>
    </row>
    <row r="344" spans="2:2" hidden="1" x14ac:dyDescent="0.3">
      <c r="B344" s="148"/>
    </row>
    <row r="345" spans="2:2" hidden="1" x14ac:dyDescent="0.3">
      <c r="B345" s="148"/>
    </row>
    <row r="346" spans="2:2" hidden="1" x14ac:dyDescent="0.3">
      <c r="B346" s="148"/>
    </row>
    <row r="347" spans="2:2" hidden="1" x14ac:dyDescent="0.3">
      <c r="B347" s="148"/>
    </row>
    <row r="348" spans="2:2" hidden="1" x14ac:dyDescent="0.3">
      <c r="B348" s="148"/>
    </row>
    <row r="349" spans="2:2" hidden="1" x14ac:dyDescent="0.3">
      <c r="B349" s="148"/>
    </row>
    <row r="350" spans="2:2" hidden="1" x14ac:dyDescent="0.3">
      <c r="B350" s="148"/>
    </row>
    <row r="351" spans="2:2" hidden="1" x14ac:dyDescent="0.3">
      <c r="B351" s="148"/>
    </row>
    <row r="352" spans="2:2" hidden="1" x14ac:dyDescent="0.3">
      <c r="B352" s="148"/>
    </row>
    <row r="353" spans="2:2" hidden="1" x14ac:dyDescent="0.3">
      <c r="B353" s="148"/>
    </row>
    <row r="354" spans="2:2" hidden="1" x14ac:dyDescent="0.3">
      <c r="B354" s="148"/>
    </row>
    <row r="355" spans="2:2" hidden="1" x14ac:dyDescent="0.3">
      <c r="B355" s="148"/>
    </row>
    <row r="356" spans="2:2" hidden="1" x14ac:dyDescent="0.3">
      <c r="B356" s="148"/>
    </row>
    <row r="357" spans="2:2" hidden="1" x14ac:dyDescent="0.3">
      <c r="B357" s="148"/>
    </row>
    <row r="358" spans="2:2" hidden="1" x14ac:dyDescent="0.3">
      <c r="B358" s="148"/>
    </row>
    <row r="359" spans="2:2" hidden="1" x14ac:dyDescent="0.3">
      <c r="B359" s="148"/>
    </row>
    <row r="360" spans="2:2" hidden="1" x14ac:dyDescent="0.3">
      <c r="B360" s="148"/>
    </row>
    <row r="361" spans="2:2" hidden="1" x14ac:dyDescent="0.3">
      <c r="B361" s="148"/>
    </row>
    <row r="362" spans="2:2" hidden="1" x14ac:dyDescent="0.3">
      <c r="B362" s="148"/>
    </row>
    <row r="363" spans="2:2" hidden="1" x14ac:dyDescent="0.3">
      <c r="B363" s="148"/>
    </row>
    <row r="364" spans="2:2" hidden="1" x14ac:dyDescent="0.3">
      <c r="B364" s="148"/>
    </row>
    <row r="365" spans="2:2" hidden="1" x14ac:dyDescent="0.3">
      <c r="B365" s="148"/>
    </row>
    <row r="366" spans="2:2" hidden="1" x14ac:dyDescent="0.3">
      <c r="B366" s="148"/>
    </row>
    <row r="367" spans="2:2" hidden="1" x14ac:dyDescent="0.3">
      <c r="B367" s="148"/>
    </row>
    <row r="368" spans="2:2" hidden="1" x14ac:dyDescent="0.3">
      <c r="B368" s="148"/>
    </row>
    <row r="369" spans="2:2" hidden="1" x14ac:dyDescent="0.3">
      <c r="B369" s="148"/>
    </row>
    <row r="370" spans="2:2" hidden="1" x14ac:dyDescent="0.3">
      <c r="B370" s="148"/>
    </row>
    <row r="371" spans="2:2" hidden="1" x14ac:dyDescent="0.3">
      <c r="B371" s="148"/>
    </row>
    <row r="372" spans="2:2" hidden="1" x14ac:dyDescent="0.3">
      <c r="B372" s="148"/>
    </row>
    <row r="373" spans="2:2" hidden="1" x14ac:dyDescent="0.3">
      <c r="B373" s="148"/>
    </row>
    <row r="374" spans="2:2" hidden="1" x14ac:dyDescent="0.3">
      <c r="B374" s="148"/>
    </row>
    <row r="375" spans="2:2" hidden="1" x14ac:dyDescent="0.3">
      <c r="B375" s="148"/>
    </row>
    <row r="376" spans="2:2" hidden="1" x14ac:dyDescent="0.3">
      <c r="B376" s="148"/>
    </row>
    <row r="377" spans="2:2" hidden="1" x14ac:dyDescent="0.3">
      <c r="B377" s="148"/>
    </row>
    <row r="378" spans="2:2" hidden="1" x14ac:dyDescent="0.3">
      <c r="B378" s="148"/>
    </row>
    <row r="379" spans="2:2" hidden="1" x14ac:dyDescent="0.3">
      <c r="B379" s="148"/>
    </row>
    <row r="380" spans="2:2" hidden="1" x14ac:dyDescent="0.3">
      <c r="B380" s="148"/>
    </row>
    <row r="381" spans="2:2" hidden="1" x14ac:dyDescent="0.3">
      <c r="B381" s="148"/>
    </row>
    <row r="382" spans="2:2" hidden="1" x14ac:dyDescent="0.3">
      <c r="B382" s="148"/>
    </row>
    <row r="383" spans="2:2" hidden="1" x14ac:dyDescent="0.3">
      <c r="B383" s="148"/>
    </row>
    <row r="384" spans="2:2" hidden="1" x14ac:dyDescent="0.3">
      <c r="B384" s="148"/>
    </row>
    <row r="385" spans="2:2" hidden="1" x14ac:dyDescent="0.3">
      <c r="B385" s="148"/>
    </row>
    <row r="386" spans="2:2" hidden="1" x14ac:dyDescent="0.3">
      <c r="B386" s="148"/>
    </row>
    <row r="387" spans="2:2" hidden="1" x14ac:dyDescent="0.3">
      <c r="B387" s="148"/>
    </row>
    <row r="388" spans="2:2" hidden="1" x14ac:dyDescent="0.3">
      <c r="B388" s="148"/>
    </row>
    <row r="389" spans="2:2" hidden="1" x14ac:dyDescent="0.3">
      <c r="B389" s="148"/>
    </row>
    <row r="390" spans="2:2" hidden="1" x14ac:dyDescent="0.3">
      <c r="B390" s="148"/>
    </row>
    <row r="391" spans="2:2" hidden="1" x14ac:dyDescent="0.3">
      <c r="B391" s="148"/>
    </row>
    <row r="392" spans="2:2" hidden="1" x14ac:dyDescent="0.3">
      <c r="B392" s="148"/>
    </row>
    <row r="393" spans="2:2" hidden="1" x14ac:dyDescent="0.3">
      <c r="B393" s="148"/>
    </row>
    <row r="394" spans="2:2" hidden="1" x14ac:dyDescent="0.3">
      <c r="B394" s="148"/>
    </row>
    <row r="395" spans="2:2" hidden="1" x14ac:dyDescent="0.3">
      <c r="B395" s="148"/>
    </row>
    <row r="396" spans="2:2" hidden="1" x14ac:dyDescent="0.3">
      <c r="B396" s="148"/>
    </row>
    <row r="397" spans="2:2" hidden="1" x14ac:dyDescent="0.3">
      <c r="B397" s="148"/>
    </row>
    <row r="398" spans="2:2" hidden="1" x14ac:dyDescent="0.3">
      <c r="B398" s="148"/>
    </row>
    <row r="399" spans="2:2" hidden="1" x14ac:dyDescent="0.3">
      <c r="B399" s="148"/>
    </row>
    <row r="400" spans="2:2" hidden="1" x14ac:dyDescent="0.3">
      <c r="B400" s="148"/>
    </row>
    <row r="401" spans="2:2" hidden="1" x14ac:dyDescent="0.3">
      <c r="B401" s="148"/>
    </row>
    <row r="402" spans="2:2" hidden="1" x14ac:dyDescent="0.3">
      <c r="B402" s="148"/>
    </row>
    <row r="403" spans="2:2" hidden="1" x14ac:dyDescent="0.3">
      <c r="B403" s="148"/>
    </row>
    <row r="404" spans="2:2" hidden="1" x14ac:dyDescent="0.3">
      <c r="B404" s="148"/>
    </row>
    <row r="405" spans="2:2" hidden="1" x14ac:dyDescent="0.3">
      <c r="B405" s="148"/>
    </row>
    <row r="406" spans="2:2" hidden="1" x14ac:dyDescent="0.3">
      <c r="B406" s="148"/>
    </row>
    <row r="407" spans="2:2" hidden="1" x14ac:dyDescent="0.3">
      <c r="B407" s="148"/>
    </row>
    <row r="408" spans="2:2" hidden="1" x14ac:dyDescent="0.3">
      <c r="B408" s="148"/>
    </row>
    <row r="409" spans="2:2" hidden="1" x14ac:dyDescent="0.3">
      <c r="B409" s="148"/>
    </row>
    <row r="410" spans="2:2" hidden="1" x14ac:dyDescent="0.3">
      <c r="B410" s="148"/>
    </row>
    <row r="411" spans="2:2" hidden="1" x14ac:dyDescent="0.3">
      <c r="B411" s="148"/>
    </row>
    <row r="412" spans="2:2" hidden="1" x14ac:dyDescent="0.3">
      <c r="B412" s="148"/>
    </row>
    <row r="413" spans="2:2" hidden="1" x14ac:dyDescent="0.3">
      <c r="B413" s="148"/>
    </row>
    <row r="414" spans="2:2" hidden="1" x14ac:dyDescent="0.3">
      <c r="B414" s="148"/>
    </row>
    <row r="415" spans="2:2" hidden="1" x14ac:dyDescent="0.3">
      <c r="B415" s="148"/>
    </row>
    <row r="416" spans="2:2" hidden="1" x14ac:dyDescent="0.3">
      <c r="B416" s="148"/>
    </row>
    <row r="417" spans="2:2" hidden="1" x14ac:dyDescent="0.3">
      <c r="B417" s="148"/>
    </row>
    <row r="418" spans="2:2" hidden="1" x14ac:dyDescent="0.3">
      <c r="B418" s="148"/>
    </row>
    <row r="419" spans="2:2" hidden="1" x14ac:dyDescent="0.3">
      <c r="B419" s="148"/>
    </row>
    <row r="420" spans="2:2" hidden="1" x14ac:dyDescent="0.3">
      <c r="B420" s="148"/>
    </row>
    <row r="421" spans="2:2" hidden="1" x14ac:dyDescent="0.3">
      <c r="B421" s="148"/>
    </row>
    <row r="422" spans="2:2" hidden="1" x14ac:dyDescent="0.3">
      <c r="B422" s="148"/>
    </row>
    <row r="423" spans="2:2" hidden="1" x14ac:dyDescent="0.3">
      <c r="B423" s="148"/>
    </row>
    <row r="424" spans="2:2" hidden="1" x14ac:dyDescent="0.3">
      <c r="B424" s="148"/>
    </row>
    <row r="425" spans="2:2" hidden="1" x14ac:dyDescent="0.3">
      <c r="B425" s="148"/>
    </row>
    <row r="426" spans="2:2" hidden="1" x14ac:dyDescent="0.3">
      <c r="B426" s="148"/>
    </row>
    <row r="427" spans="2:2" hidden="1" x14ac:dyDescent="0.3">
      <c r="B427" s="148"/>
    </row>
    <row r="428" spans="2:2" hidden="1" x14ac:dyDescent="0.3">
      <c r="B428" s="148"/>
    </row>
    <row r="429" spans="2:2" hidden="1" x14ac:dyDescent="0.3">
      <c r="B429" s="148"/>
    </row>
    <row r="430" spans="2:2" hidden="1" x14ac:dyDescent="0.3">
      <c r="B430" s="148"/>
    </row>
    <row r="431" spans="2:2" hidden="1" x14ac:dyDescent="0.3">
      <c r="B431" s="148"/>
    </row>
    <row r="432" spans="2:2" hidden="1" x14ac:dyDescent="0.3">
      <c r="B432" s="148"/>
    </row>
    <row r="433" spans="2:2" hidden="1" x14ac:dyDescent="0.3">
      <c r="B433" s="148"/>
    </row>
    <row r="434" spans="2:2" hidden="1" x14ac:dyDescent="0.3">
      <c r="B434" s="148"/>
    </row>
    <row r="435" spans="2:2" hidden="1" x14ac:dyDescent="0.3">
      <c r="B435" s="148"/>
    </row>
    <row r="436" spans="2:2" hidden="1" x14ac:dyDescent="0.3">
      <c r="B436" s="148"/>
    </row>
    <row r="437" spans="2:2" hidden="1" x14ac:dyDescent="0.3">
      <c r="B437" s="148"/>
    </row>
    <row r="438" spans="2:2" hidden="1" x14ac:dyDescent="0.3">
      <c r="B438" s="148"/>
    </row>
    <row r="439" spans="2:2" hidden="1" x14ac:dyDescent="0.3">
      <c r="B439" s="148"/>
    </row>
    <row r="440" spans="2:2" hidden="1" x14ac:dyDescent="0.3">
      <c r="B440" s="148"/>
    </row>
    <row r="441" spans="2:2" hidden="1" x14ac:dyDescent="0.3">
      <c r="B441" s="148"/>
    </row>
    <row r="442" spans="2:2" hidden="1" x14ac:dyDescent="0.3">
      <c r="B442" s="148"/>
    </row>
    <row r="443" spans="2:2" hidden="1" x14ac:dyDescent="0.3">
      <c r="B443" s="148"/>
    </row>
    <row r="444" spans="2:2" hidden="1" x14ac:dyDescent="0.3">
      <c r="B444" s="148"/>
    </row>
    <row r="445" spans="2:2" hidden="1" x14ac:dyDescent="0.3">
      <c r="B445" s="148"/>
    </row>
    <row r="446" spans="2:2" hidden="1" x14ac:dyDescent="0.3">
      <c r="B446" s="148"/>
    </row>
    <row r="447" spans="2:2" hidden="1" x14ac:dyDescent="0.3">
      <c r="B447" s="148"/>
    </row>
    <row r="448" spans="2:2" hidden="1" x14ac:dyDescent="0.3">
      <c r="B448" s="148"/>
    </row>
    <row r="449" spans="2:2" hidden="1" x14ac:dyDescent="0.3">
      <c r="B449" s="148"/>
    </row>
    <row r="450" spans="2:2" hidden="1" x14ac:dyDescent="0.3">
      <c r="B450" s="148"/>
    </row>
    <row r="451" spans="2:2" hidden="1" x14ac:dyDescent="0.3">
      <c r="B451" s="148"/>
    </row>
    <row r="452" spans="2:2" hidden="1" x14ac:dyDescent="0.3">
      <c r="B452" s="148"/>
    </row>
    <row r="453" spans="2:2" hidden="1" x14ac:dyDescent="0.3">
      <c r="B453" s="148"/>
    </row>
    <row r="454" spans="2:2" hidden="1" x14ac:dyDescent="0.3">
      <c r="B454" s="148"/>
    </row>
    <row r="455" spans="2:2" hidden="1" x14ac:dyDescent="0.3">
      <c r="B455" s="148"/>
    </row>
    <row r="456" spans="2:2" hidden="1" x14ac:dyDescent="0.3">
      <c r="B456" s="148"/>
    </row>
    <row r="457" spans="2:2" hidden="1" x14ac:dyDescent="0.3">
      <c r="B457" s="148"/>
    </row>
    <row r="458" spans="2:2" hidden="1" x14ac:dyDescent="0.3">
      <c r="B458" s="148"/>
    </row>
    <row r="459" spans="2:2" hidden="1" x14ac:dyDescent="0.3">
      <c r="B459" s="148"/>
    </row>
    <row r="460" spans="2:2" hidden="1" x14ac:dyDescent="0.3">
      <c r="B460" s="148"/>
    </row>
    <row r="461" spans="2:2" hidden="1" x14ac:dyDescent="0.3">
      <c r="B461" s="148"/>
    </row>
    <row r="462" spans="2:2" hidden="1" x14ac:dyDescent="0.3">
      <c r="B462" s="148"/>
    </row>
    <row r="463" spans="2:2" hidden="1" x14ac:dyDescent="0.3">
      <c r="B463" s="148"/>
    </row>
    <row r="464" spans="2:2" hidden="1" x14ac:dyDescent="0.3">
      <c r="B464" s="148"/>
    </row>
    <row r="465" spans="2:2" hidden="1" x14ac:dyDescent="0.3">
      <c r="B465" s="148"/>
    </row>
    <row r="466" spans="2:2" hidden="1" x14ac:dyDescent="0.3">
      <c r="B466" s="148"/>
    </row>
    <row r="467" spans="2:2" hidden="1" x14ac:dyDescent="0.3">
      <c r="B467" s="148"/>
    </row>
    <row r="468" spans="2:2" hidden="1" x14ac:dyDescent="0.3">
      <c r="B468" s="148"/>
    </row>
    <row r="469" spans="2:2" hidden="1" x14ac:dyDescent="0.3">
      <c r="B469" s="148"/>
    </row>
    <row r="470" spans="2:2" hidden="1" x14ac:dyDescent="0.3">
      <c r="B470" s="148"/>
    </row>
    <row r="471" spans="2:2" hidden="1" x14ac:dyDescent="0.3">
      <c r="B471" s="148"/>
    </row>
    <row r="472" spans="2:2" hidden="1" x14ac:dyDescent="0.3">
      <c r="B472" s="148"/>
    </row>
    <row r="473" spans="2:2" hidden="1" x14ac:dyDescent="0.3">
      <c r="B473" s="148"/>
    </row>
    <row r="474" spans="2:2" hidden="1" x14ac:dyDescent="0.3">
      <c r="B474" s="148"/>
    </row>
    <row r="475" spans="2:2" hidden="1" x14ac:dyDescent="0.3">
      <c r="B475" s="148"/>
    </row>
    <row r="476" spans="2:2" hidden="1" x14ac:dyDescent="0.3">
      <c r="B476" s="148"/>
    </row>
    <row r="477" spans="2:2" hidden="1" x14ac:dyDescent="0.3">
      <c r="B477" s="148"/>
    </row>
    <row r="478" spans="2:2" hidden="1" x14ac:dyDescent="0.3">
      <c r="B478" s="148"/>
    </row>
    <row r="479" spans="2:2" hidden="1" x14ac:dyDescent="0.3">
      <c r="B479" s="148"/>
    </row>
    <row r="480" spans="2:2" hidden="1" x14ac:dyDescent="0.3">
      <c r="B480" s="148"/>
    </row>
    <row r="481" spans="2:2" hidden="1" x14ac:dyDescent="0.3">
      <c r="B481" s="148"/>
    </row>
    <row r="482" spans="2:2" hidden="1" x14ac:dyDescent="0.3">
      <c r="B482" s="148"/>
    </row>
    <row r="483" spans="2:2" hidden="1" x14ac:dyDescent="0.3">
      <c r="B483" s="148"/>
    </row>
    <row r="484" spans="2:2" hidden="1" x14ac:dyDescent="0.3">
      <c r="B484" s="148"/>
    </row>
    <row r="485" spans="2:2" hidden="1" x14ac:dyDescent="0.3">
      <c r="B485" s="148"/>
    </row>
    <row r="486" spans="2:2" hidden="1" x14ac:dyDescent="0.3">
      <c r="B486" s="148"/>
    </row>
    <row r="487" spans="2:2" hidden="1" x14ac:dyDescent="0.3">
      <c r="B487" s="148"/>
    </row>
    <row r="488" spans="2:2" hidden="1" x14ac:dyDescent="0.3">
      <c r="B488" s="148"/>
    </row>
    <row r="489" spans="2:2" hidden="1" x14ac:dyDescent="0.3">
      <c r="B489" s="148"/>
    </row>
    <row r="490" spans="2:2" hidden="1" x14ac:dyDescent="0.3">
      <c r="B490" s="148"/>
    </row>
    <row r="491" spans="2:2" hidden="1" x14ac:dyDescent="0.3">
      <c r="B491" s="148"/>
    </row>
    <row r="492" spans="2:2" hidden="1" x14ac:dyDescent="0.3">
      <c r="B492" s="148"/>
    </row>
    <row r="493" spans="2:2" hidden="1" x14ac:dyDescent="0.3">
      <c r="B493" s="148"/>
    </row>
    <row r="494" spans="2:2" hidden="1" x14ac:dyDescent="0.3">
      <c r="B494" s="148"/>
    </row>
    <row r="495" spans="2:2" hidden="1" x14ac:dyDescent="0.3">
      <c r="B495" s="148"/>
    </row>
    <row r="496" spans="2:2" hidden="1" x14ac:dyDescent="0.3">
      <c r="B496" s="148"/>
    </row>
    <row r="497" spans="2:2" hidden="1" x14ac:dyDescent="0.3">
      <c r="B497" s="148"/>
    </row>
    <row r="498" spans="2:2" hidden="1" x14ac:dyDescent="0.3">
      <c r="B498" s="148"/>
    </row>
    <row r="499" spans="2:2" hidden="1" x14ac:dyDescent="0.3">
      <c r="B499" s="148"/>
    </row>
    <row r="500" spans="2:2" hidden="1" x14ac:dyDescent="0.3">
      <c r="B500" s="148"/>
    </row>
    <row r="501" spans="2:2" hidden="1" x14ac:dyDescent="0.3">
      <c r="B501" s="148"/>
    </row>
    <row r="502" spans="2:2" hidden="1" x14ac:dyDescent="0.3">
      <c r="B502" s="148"/>
    </row>
    <row r="503" spans="2:2" hidden="1" x14ac:dyDescent="0.3">
      <c r="B503" s="148"/>
    </row>
    <row r="504" spans="2:2" hidden="1" x14ac:dyDescent="0.3">
      <c r="B504" s="148"/>
    </row>
    <row r="505" spans="2:2" hidden="1" x14ac:dyDescent="0.3">
      <c r="B505" s="148"/>
    </row>
    <row r="506" spans="2:2" hidden="1" x14ac:dyDescent="0.3">
      <c r="B506" s="148"/>
    </row>
    <row r="507" spans="2:2" hidden="1" x14ac:dyDescent="0.3">
      <c r="B507" s="148"/>
    </row>
    <row r="508" spans="2:2" hidden="1" x14ac:dyDescent="0.3">
      <c r="B508" s="148"/>
    </row>
    <row r="509" spans="2:2" hidden="1" x14ac:dyDescent="0.3">
      <c r="B509" s="148"/>
    </row>
    <row r="510" spans="2:2" hidden="1" x14ac:dyDescent="0.3">
      <c r="B510" s="148"/>
    </row>
    <row r="511" spans="2:2" hidden="1" x14ac:dyDescent="0.3">
      <c r="B511" s="148"/>
    </row>
    <row r="512" spans="2:2" hidden="1" x14ac:dyDescent="0.3">
      <c r="B512" s="148"/>
    </row>
    <row r="513" spans="2:2" hidden="1" x14ac:dyDescent="0.3">
      <c r="B513" s="148"/>
    </row>
    <row r="514" spans="2:2" hidden="1" x14ac:dyDescent="0.3">
      <c r="B514" s="148"/>
    </row>
    <row r="515" spans="2:2" hidden="1" x14ac:dyDescent="0.3">
      <c r="B515" s="148"/>
    </row>
    <row r="516" spans="2:2" hidden="1" x14ac:dyDescent="0.3">
      <c r="B516" s="148"/>
    </row>
    <row r="517" spans="2:2" hidden="1" x14ac:dyDescent="0.3">
      <c r="B517" s="148"/>
    </row>
    <row r="518" spans="2:2" hidden="1" x14ac:dyDescent="0.3">
      <c r="B518" s="148"/>
    </row>
    <row r="519" spans="2:2" hidden="1" x14ac:dyDescent="0.3">
      <c r="B519" s="148"/>
    </row>
    <row r="520" spans="2:2" hidden="1" x14ac:dyDescent="0.3">
      <c r="B520" s="148"/>
    </row>
    <row r="521" spans="2:2" hidden="1" x14ac:dyDescent="0.3">
      <c r="B521" s="148"/>
    </row>
    <row r="522" spans="2:2" hidden="1" x14ac:dyDescent="0.3">
      <c r="B522" s="148"/>
    </row>
    <row r="523" spans="2:2" hidden="1" x14ac:dyDescent="0.3">
      <c r="B523" s="148"/>
    </row>
    <row r="524" spans="2:2" hidden="1" x14ac:dyDescent="0.3">
      <c r="B524" s="148"/>
    </row>
    <row r="525" spans="2:2" hidden="1" x14ac:dyDescent="0.3">
      <c r="B525" s="148"/>
    </row>
    <row r="526" spans="2:2" hidden="1" x14ac:dyDescent="0.3">
      <c r="B526" s="148"/>
    </row>
    <row r="527" spans="2:2" hidden="1" x14ac:dyDescent="0.3">
      <c r="B527" s="148"/>
    </row>
    <row r="528" spans="2:2" hidden="1" x14ac:dyDescent="0.3">
      <c r="B528" s="148"/>
    </row>
    <row r="529" spans="2:2" hidden="1" x14ac:dyDescent="0.3">
      <c r="B529" s="148"/>
    </row>
    <row r="530" spans="2:2" hidden="1" x14ac:dyDescent="0.3">
      <c r="B530" s="148"/>
    </row>
    <row r="531" spans="2:2" hidden="1" x14ac:dyDescent="0.3">
      <c r="B531" s="148"/>
    </row>
    <row r="532" spans="2:2" hidden="1" x14ac:dyDescent="0.3">
      <c r="B532" s="148"/>
    </row>
    <row r="533" spans="2:2" hidden="1" x14ac:dyDescent="0.3">
      <c r="B533" s="148"/>
    </row>
    <row r="534" spans="2:2" hidden="1" x14ac:dyDescent="0.3">
      <c r="B534" s="148"/>
    </row>
    <row r="535" spans="2:2" hidden="1" x14ac:dyDescent="0.3">
      <c r="B535" s="148"/>
    </row>
    <row r="536" spans="2:2" hidden="1" x14ac:dyDescent="0.3">
      <c r="B536" s="148"/>
    </row>
    <row r="537" spans="2:2" hidden="1" x14ac:dyDescent="0.3">
      <c r="B537" s="148"/>
    </row>
    <row r="538" spans="2:2" hidden="1" x14ac:dyDescent="0.3">
      <c r="B538" s="148"/>
    </row>
    <row r="539" spans="2:2" hidden="1" x14ac:dyDescent="0.3">
      <c r="B539" s="148"/>
    </row>
    <row r="540" spans="2:2" hidden="1" x14ac:dyDescent="0.3">
      <c r="B540" s="148"/>
    </row>
    <row r="541" spans="2:2" hidden="1" x14ac:dyDescent="0.3">
      <c r="B541" s="148"/>
    </row>
    <row r="542" spans="2:2" hidden="1" x14ac:dyDescent="0.3">
      <c r="B542" s="148"/>
    </row>
    <row r="543" spans="2:2" hidden="1" x14ac:dyDescent="0.3">
      <c r="B543" s="148"/>
    </row>
    <row r="544" spans="2:2" hidden="1" x14ac:dyDescent="0.3">
      <c r="B544" s="148"/>
    </row>
    <row r="545" spans="2:2" hidden="1" x14ac:dyDescent="0.3">
      <c r="B545" s="148"/>
    </row>
    <row r="546" spans="2:2" hidden="1" x14ac:dyDescent="0.3">
      <c r="B546" s="148"/>
    </row>
    <row r="547" spans="2:2" hidden="1" x14ac:dyDescent="0.3">
      <c r="B547" s="148"/>
    </row>
    <row r="548" spans="2:2" hidden="1" x14ac:dyDescent="0.3">
      <c r="B548" s="148"/>
    </row>
    <row r="549" spans="2:2" hidden="1" x14ac:dyDescent="0.3">
      <c r="B549" s="148"/>
    </row>
    <row r="550" spans="2:2" hidden="1" x14ac:dyDescent="0.3">
      <c r="B550" s="148"/>
    </row>
    <row r="551" spans="2:2" hidden="1" x14ac:dyDescent="0.3">
      <c r="B551" s="148"/>
    </row>
    <row r="552" spans="2:2" hidden="1" x14ac:dyDescent="0.3">
      <c r="B552" s="148"/>
    </row>
    <row r="553" spans="2:2" hidden="1" x14ac:dyDescent="0.3">
      <c r="B553" s="148"/>
    </row>
    <row r="554" spans="2:2" hidden="1" x14ac:dyDescent="0.3">
      <c r="B554" s="148"/>
    </row>
    <row r="555" spans="2:2" hidden="1" x14ac:dyDescent="0.3">
      <c r="B555" s="148"/>
    </row>
    <row r="556" spans="2:2" hidden="1" x14ac:dyDescent="0.3">
      <c r="B556" s="148"/>
    </row>
    <row r="557" spans="2:2" hidden="1" x14ac:dyDescent="0.3">
      <c r="B557" s="148"/>
    </row>
    <row r="558" spans="2:2" hidden="1" x14ac:dyDescent="0.3">
      <c r="B558" s="148"/>
    </row>
    <row r="559" spans="2:2" hidden="1" x14ac:dyDescent="0.3">
      <c r="B559" s="148"/>
    </row>
    <row r="560" spans="2:2" hidden="1" x14ac:dyDescent="0.3">
      <c r="B560" s="148"/>
    </row>
    <row r="561" spans="2:2" hidden="1" x14ac:dyDescent="0.3">
      <c r="B561" s="148"/>
    </row>
    <row r="562" spans="2:2" hidden="1" x14ac:dyDescent="0.3">
      <c r="B562" s="148"/>
    </row>
    <row r="563" spans="2:2" hidden="1" x14ac:dyDescent="0.3">
      <c r="B563" s="148"/>
    </row>
    <row r="564" spans="2:2" hidden="1" x14ac:dyDescent="0.3">
      <c r="B564" s="148"/>
    </row>
    <row r="565" spans="2:2" hidden="1" x14ac:dyDescent="0.3">
      <c r="B565" s="148"/>
    </row>
    <row r="566" spans="2:2" hidden="1" x14ac:dyDescent="0.3">
      <c r="B566" s="148"/>
    </row>
    <row r="567" spans="2:2" hidden="1" x14ac:dyDescent="0.3">
      <c r="B567" s="148"/>
    </row>
    <row r="568" spans="2:2" hidden="1" x14ac:dyDescent="0.3">
      <c r="B568" s="148"/>
    </row>
    <row r="569" spans="2:2" hidden="1" x14ac:dyDescent="0.3">
      <c r="B569" s="148"/>
    </row>
    <row r="570" spans="2:2" hidden="1" x14ac:dyDescent="0.3">
      <c r="B570" s="148"/>
    </row>
    <row r="571" spans="2:2" hidden="1" x14ac:dyDescent="0.3">
      <c r="B571" s="148"/>
    </row>
    <row r="572" spans="2:2" hidden="1" x14ac:dyDescent="0.3">
      <c r="B572" s="148"/>
    </row>
    <row r="573" spans="2:2" hidden="1" x14ac:dyDescent="0.3">
      <c r="B573" s="148"/>
    </row>
    <row r="574" spans="2:2" hidden="1" x14ac:dyDescent="0.3">
      <c r="B574" s="148"/>
    </row>
    <row r="575" spans="2:2" hidden="1" x14ac:dyDescent="0.3">
      <c r="B575" s="148"/>
    </row>
    <row r="576" spans="2:2" hidden="1" x14ac:dyDescent="0.3">
      <c r="B576" s="148"/>
    </row>
    <row r="577" spans="2:2" hidden="1" x14ac:dyDescent="0.3">
      <c r="B577" s="148"/>
    </row>
    <row r="578" spans="2:2" hidden="1" x14ac:dyDescent="0.3">
      <c r="B578" s="148"/>
    </row>
    <row r="579" spans="2:2" hidden="1" x14ac:dyDescent="0.3">
      <c r="B579" s="148"/>
    </row>
    <row r="580" spans="2:2" hidden="1" x14ac:dyDescent="0.3">
      <c r="B580" s="148"/>
    </row>
    <row r="581" spans="2:2" hidden="1" x14ac:dyDescent="0.3">
      <c r="B581" s="148"/>
    </row>
    <row r="582" spans="2:2" hidden="1" x14ac:dyDescent="0.3">
      <c r="B582" s="148"/>
    </row>
    <row r="583" spans="2:2" hidden="1" x14ac:dyDescent="0.3">
      <c r="B583" s="148"/>
    </row>
    <row r="584" spans="2:2" hidden="1" x14ac:dyDescent="0.3">
      <c r="B584" s="148"/>
    </row>
    <row r="585" spans="2:2" hidden="1" x14ac:dyDescent="0.3">
      <c r="B585" s="148"/>
    </row>
    <row r="586" spans="2:2" hidden="1" x14ac:dyDescent="0.3">
      <c r="B586" s="148"/>
    </row>
    <row r="587" spans="2:2" hidden="1" x14ac:dyDescent="0.3">
      <c r="B587" s="148"/>
    </row>
    <row r="588" spans="2:2" hidden="1" x14ac:dyDescent="0.3">
      <c r="B588" s="148"/>
    </row>
    <row r="589" spans="2:2" hidden="1" x14ac:dyDescent="0.3">
      <c r="B589" s="148"/>
    </row>
    <row r="590" spans="2:2" hidden="1" x14ac:dyDescent="0.3">
      <c r="B590" s="148"/>
    </row>
    <row r="591" spans="2:2" hidden="1" x14ac:dyDescent="0.3">
      <c r="B591" s="148"/>
    </row>
    <row r="592" spans="2:2" hidden="1" x14ac:dyDescent="0.3">
      <c r="B592" s="148"/>
    </row>
    <row r="593" spans="2:2" hidden="1" x14ac:dyDescent="0.3">
      <c r="B593" s="148"/>
    </row>
    <row r="594" spans="2:2" hidden="1" x14ac:dyDescent="0.3">
      <c r="B594" s="148"/>
    </row>
    <row r="595" spans="2:2" hidden="1" x14ac:dyDescent="0.3">
      <c r="B595" s="148"/>
    </row>
    <row r="596" spans="2:2" hidden="1" x14ac:dyDescent="0.3">
      <c r="B596" s="148"/>
    </row>
    <row r="597" spans="2:2" hidden="1" x14ac:dyDescent="0.3">
      <c r="B597" s="148"/>
    </row>
    <row r="598" spans="2:2" hidden="1" x14ac:dyDescent="0.3">
      <c r="B598" s="148"/>
    </row>
    <row r="599" spans="2:2" hidden="1" x14ac:dyDescent="0.3">
      <c r="B599" s="148"/>
    </row>
    <row r="600" spans="2:2" hidden="1" x14ac:dyDescent="0.3">
      <c r="B600" s="148"/>
    </row>
    <row r="601" spans="2:2" hidden="1" x14ac:dyDescent="0.3">
      <c r="B601" s="148"/>
    </row>
    <row r="602" spans="2:2" hidden="1" x14ac:dyDescent="0.3">
      <c r="B602" s="148"/>
    </row>
    <row r="603" spans="2:2" x14ac:dyDescent="0.3"/>
    <row r="604" spans="2:2" x14ac:dyDescent="0.3"/>
    <row r="605" spans="2:2" x14ac:dyDescent="0.3"/>
    <row r="606" spans="2:2" x14ac:dyDescent="0.3"/>
    <row r="607" spans="2:2" x14ac:dyDescent="0.3"/>
    <row r="608" spans="2:2" x14ac:dyDescent="0.3"/>
    <row r="609" x14ac:dyDescent="0.3"/>
    <row r="610" x14ac:dyDescent="0.3"/>
    <row r="611" x14ac:dyDescent="0.3"/>
    <row r="612" x14ac:dyDescent="0.3"/>
    <row r="613" x14ac:dyDescent="0.3"/>
    <row r="614" x14ac:dyDescent="0.3"/>
    <row r="615" x14ac:dyDescent="0.3"/>
    <row r="616" x14ac:dyDescent="0.3"/>
    <row r="617" x14ac:dyDescent="0.3"/>
    <row r="618" x14ac:dyDescent="0.3"/>
    <row r="619" x14ac:dyDescent="0.3"/>
    <row r="620" x14ac:dyDescent="0.3"/>
    <row r="621" x14ac:dyDescent="0.3"/>
  </sheetData>
  <mergeCells count="61">
    <mergeCell ref="A3:B3"/>
    <mergeCell ref="A2:B2"/>
    <mergeCell ref="A1:B1"/>
    <mergeCell ref="C1:H1"/>
    <mergeCell ref="C2:H2"/>
    <mergeCell ref="C3:H3"/>
    <mergeCell ref="E52:G52"/>
    <mergeCell ref="F66:G66"/>
    <mergeCell ref="E67:G67"/>
    <mergeCell ref="E62:G62"/>
    <mergeCell ref="F96:G96"/>
    <mergeCell ref="F85:G85"/>
    <mergeCell ref="E86:G86"/>
    <mergeCell ref="F23:G23"/>
    <mergeCell ref="E24:G24"/>
    <mergeCell ref="F18:G18"/>
    <mergeCell ref="E19:G19"/>
    <mergeCell ref="F60:G60"/>
    <mergeCell ref="E53:G53"/>
    <mergeCell ref="E43:G43"/>
    <mergeCell ref="F41:G41"/>
    <mergeCell ref="E42:G42"/>
    <mergeCell ref="F28:G28"/>
    <mergeCell ref="E29:G29"/>
    <mergeCell ref="E45:G45"/>
    <mergeCell ref="E37:G37"/>
    <mergeCell ref="F35:G35"/>
    <mergeCell ref="E36:G36"/>
    <mergeCell ref="F51:G51"/>
    <mergeCell ref="F121:G121"/>
    <mergeCell ref="F122:G122"/>
    <mergeCell ref="F123:G123"/>
    <mergeCell ref="F101:G101"/>
    <mergeCell ref="E102:G102"/>
    <mergeCell ref="F115:G115"/>
    <mergeCell ref="F116:G116"/>
    <mergeCell ref="F117:G117"/>
    <mergeCell ref="F13:G13"/>
    <mergeCell ref="E14:G14"/>
    <mergeCell ref="F8:G8"/>
    <mergeCell ref="E9:G9"/>
    <mergeCell ref="F118:G118"/>
    <mergeCell ref="F119:G119"/>
    <mergeCell ref="F120:G120"/>
    <mergeCell ref="E76:G76"/>
    <mergeCell ref="E55:G55"/>
    <mergeCell ref="E61:G61"/>
    <mergeCell ref="F90:G90"/>
    <mergeCell ref="E91:G91"/>
    <mergeCell ref="F80:G80"/>
    <mergeCell ref="E81:G81"/>
    <mergeCell ref="E68:G68"/>
    <mergeCell ref="E74:G74"/>
    <mergeCell ref="F72:G72"/>
    <mergeCell ref="E73:G73"/>
    <mergeCell ref="E97:G97"/>
    <mergeCell ref="F128:G128"/>
    <mergeCell ref="F124:G124"/>
    <mergeCell ref="F125:G125"/>
    <mergeCell ref="F126:G126"/>
    <mergeCell ref="F127:G127"/>
  </mergeCells>
  <dataValidations count="7">
    <dataValidation type="list" allowBlank="1" showInputMessage="1" showErrorMessage="1" sqref="J97 J91 J81 J76 J55" xr:uid="{3EF56BBE-944B-4EA1-80FA-40B3C62C384C}">
      <formula1>"Through Rate 01.04.23,Material Rate 01.04.23,Labour Rate 01.04.23"</formula1>
    </dataValidation>
    <dataValidation type="list" allowBlank="1" showInputMessage="1" showErrorMessage="1" sqref="J86" xr:uid="{1055E187-5CEC-4BD8-8FB6-3A22E887802C}">
      <formula1>"Through Rate 01.04.23,Material Rate 01.04.23"</formula1>
    </dataValidation>
    <dataValidation type="list" allowBlank="1" showInputMessage="1" showErrorMessage="1" sqref="J45 J29" xr:uid="{D40D7D0C-A8B1-4E09-AF6C-AC3B96E1285A}">
      <formula1>"Through Rate 13.06.24,Through Rate 01.04.23,Material Rate 13.06.24,Material Rate 01.04.23,Labour Rate 13.06.24,Labour Rate 01.04.23"</formula1>
    </dataValidation>
    <dataValidation type="list" allowBlank="1" showInputMessage="1" showErrorMessage="1" sqref="J14" xr:uid="{F6101F5C-6B6B-4659-A3B1-FFBE25D20C3C}">
      <formula1>"Rate 01.04.23"</formula1>
    </dataValidation>
    <dataValidation type="list" allowBlank="1" showInputMessage="1" showErrorMessage="1" sqref="J24" xr:uid="{543A4C90-8FF4-49A6-8566-5A87BB6B2FBC}">
      <formula1>"Beyond 5km up to 10km per KM 01.04.23,1km 01.04.23,2km 01.04.23,3km 01.04.23,4km 01.04.23,5km 01.04.23,Beyond 10km up to 20km per KM 01.04.23,Beyond 20km per adl. KM 01.04.23"</formula1>
    </dataValidation>
    <dataValidation type="list" allowBlank="1" showInputMessage="1" showErrorMessage="1" sqref="J19" xr:uid="{E4506674-C915-4D5D-8331-EC2BB7DC7B63}">
      <formula1>"5km 01.04.23,1km 01.04.23,2km 01.04.23,3km 01.04.23,4km 01.04.23,Beyond 5km up to 10km per KM 01.04.23,Beyond 10km up to 20km per KM 01.04.23,Beyond 20km per adl. KM 01.04.23"</formula1>
    </dataValidation>
    <dataValidation type="list" allowBlank="1" showInputMessage="1" showErrorMessage="1" sqref="J9" xr:uid="{34F8DEAB-15E3-4C3E-B72A-1EB1784C2468}">
      <formula1>"Through Rate 01.04.23,Labour Rate 01.04.23,Machinery Rate 01.04.23"</formula1>
    </dataValidation>
  </dataValidation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EE860-C360-414A-87FD-509BED37C23E}">
  <dimension ref="A1:N515"/>
  <sheetViews>
    <sheetView showGridLines="0" workbookViewId="0">
      <pane ySplit="4" topLeftCell="A5" activePane="bottomLeft" state="frozen"/>
      <selection pane="bottomLeft" activeCell="H15" sqref="H15"/>
    </sheetView>
  </sheetViews>
  <sheetFormatPr defaultColWidth="0" defaultRowHeight="14.4" zeroHeight="1" x14ac:dyDescent="0.3"/>
  <cols>
    <col min="1" max="1" width="10.77734375" customWidth="1"/>
    <col min="2" max="2" width="8.44140625" bestFit="1" customWidth="1"/>
    <col min="3" max="3" width="65.77734375" customWidth="1"/>
    <col min="4" max="9" width="10.77734375" customWidth="1"/>
    <col min="10" max="10" width="14.77734375" customWidth="1"/>
    <col min="11" max="11" width="7.77734375" customWidth="1"/>
    <col min="12" max="12" width="8.5546875" bestFit="1" customWidth="1"/>
    <col min="13" max="14" width="8.88671875" customWidth="1"/>
    <col min="15" max="16384" width="8.88671875" hidden="1"/>
  </cols>
  <sheetData>
    <row r="1" spans="1:14" ht="15" customHeight="1" x14ac:dyDescent="0.3">
      <c r="A1" s="122" t="s">
        <v>129</v>
      </c>
      <c r="B1" s="122"/>
      <c r="C1" s="123"/>
      <c r="D1" s="123"/>
      <c r="E1" s="123"/>
      <c r="F1" s="123"/>
      <c r="G1" s="123"/>
      <c r="H1" s="123"/>
    </row>
    <row r="2" spans="1:14" ht="15" customHeight="1" x14ac:dyDescent="0.3">
      <c r="A2" s="122" t="s">
        <v>128</v>
      </c>
      <c r="B2" s="122"/>
      <c r="C2" s="122"/>
      <c r="D2" s="122"/>
      <c r="E2" s="122"/>
      <c r="F2" s="122"/>
      <c r="G2" s="122"/>
      <c r="H2" s="122"/>
    </row>
    <row r="3" spans="1:14" ht="15" customHeight="1" thickBot="1" x14ac:dyDescent="0.35">
      <c r="A3" s="128" t="s">
        <v>127</v>
      </c>
      <c r="B3" s="128"/>
      <c r="C3" s="128"/>
      <c r="D3" s="128"/>
      <c r="E3" s="128"/>
      <c r="F3" s="128"/>
      <c r="G3" s="128"/>
      <c r="H3" s="128"/>
    </row>
    <row r="4" spans="1:14" ht="31.8" thickTop="1" x14ac:dyDescent="0.3">
      <c r="A4" s="206" t="s">
        <v>64</v>
      </c>
      <c r="B4" s="207" t="s">
        <v>63</v>
      </c>
      <c r="C4" s="210" t="s">
        <v>62</v>
      </c>
      <c r="D4" s="210" t="s">
        <v>30</v>
      </c>
      <c r="E4" s="210" t="s">
        <v>61</v>
      </c>
      <c r="F4" s="210" t="s">
        <v>60</v>
      </c>
      <c r="G4" s="210" t="s">
        <v>59</v>
      </c>
      <c r="H4" s="210" t="s">
        <v>65</v>
      </c>
      <c r="I4" s="210" t="s">
        <v>66</v>
      </c>
      <c r="J4" s="210" t="s">
        <v>67</v>
      </c>
      <c r="K4" s="210" t="s">
        <v>58</v>
      </c>
      <c r="L4" s="211" t="s">
        <v>68</v>
      </c>
      <c r="M4" s="87"/>
      <c r="N4" s="87"/>
    </row>
    <row r="5" spans="1:14" ht="15.6" x14ac:dyDescent="0.3">
      <c r="A5" s="202"/>
      <c r="B5" s="208" t="s">
        <v>22</v>
      </c>
      <c r="C5" s="88"/>
      <c r="D5" s="203"/>
      <c r="E5" s="88"/>
      <c r="F5" s="88"/>
      <c r="G5" s="88"/>
      <c r="H5" s="162"/>
      <c r="I5" s="168"/>
      <c r="J5" s="172"/>
      <c r="K5" s="178"/>
      <c r="L5" s="212"/>
      <c r="M5" s="87"/>
      <c r="N5" s="87"/>
    </row>
    <row r="6" spans="1:14" ht="15.6" x14ac:dyDescent="0.3">
      <c r="A6" s="202"/>
      <c r="B6" s="208"/>
      <c r="C6" s="88"/>
      <c r="D6" s="203">
        <v>1</v>
      </c>
      <c r="E6" s="88">
        <v>2</v>
      </c>
      <c r="F6" s="88">
        <v>3</v>
      </c>
      <c r="G6" s="88">
        <v>4</v>
      </c>
      <c r="H6" s="162"/>
      <c r="I6" s="168" t="s">
        <v>24</v>
      </c>
      <c r="J6" s="172"/>
      <c r="K6" s="178"/>
      <c r="L6" s="212"/>
      <c r="M6" s="87"/>
      <c r="N6" s="87"/>
    </row>
    <row r="7" spans="1:14" ht="15.6" x14ac:dyDescent="0.3">
      <c r="A7" s="202"/>
      <c r="B7" s="208"/>
      <c r="C7" s="88"/>
      <c r="D7" s="203"/>
      <c r="E7" s="88"/>
      <c r="F7" s="88"/>
      <c r="G7" s="88"/>
      <c r="H7" s="162"/>
      <c r="I7" s="168"/>
      <c r="J7" s="172"/>
      <c r="K7" s="178"/>
      <c r="L7" s="212"/>
      <c r="M7" s="87"/>
      <c r="N7" s="87"/>
    </row>
    <row r="8" spans="1:14" ht="15.6" x14ac:dyDescent="0.3">
      <c r="A8" s="202"/>
      <c r="B8" s="208" t="s">
        <v>131</v>
      </c>
      <c r="C8" s="88"/>
      <c r="D8" s="203"/>
      <c r="E8" s="88"/>
      <c r="F8" s="88"/>
      <c r="G8" s="88"/>
      <c r="H8" s="162"/>
      <c r="I8" s="168"/>
      <c r="J8" s="172"/>
      <c r="K8" s="178"/>
      <c r="L8" s="212"/>
      <c r="M8" s="87"/>
      <c r="N8" s="87"/>
    </row>
    <row r="9" spans="1:14" ht="15.6" x14ac:dyDescent="0.3">
      <c r="A9" s="202"/>
      <c r="B9" s="208"/>
      <c r="C9" s="88"/>
      <c r="D9" s="203">
        <v>2</v>
      </c>
      <c r="E9" s="88">
        <v>3</v>
      </c>
      <c r="F9" s="88">
        <v>4</v>
      </c>
      <c r="G9" s="88">
        <v>5</v>
      </c>
      <c r="H9" s="162"/>
      <c r="I9" s="168" t="s">
        <v>24</v>
      </c>
      <c r="J9" s="172"/>
      <c r="K9" s="178"/>
      <c r="L9" s="212"/>
      <c r="M9" s="87"/>
      <c r="N9" s="87"/>
    </row>
    <row r="10" spans="1:14" ht="15.6" x14ac:dyDescent="0.3">
      <c r="A10" s="202"/>
      <c r="B10" s="208"/>
      <c r="C10" s="88"/>
      <c r="D10" s="203">
        <v>3</v>
      </c>
      <c r="E10" s="88">
        <v>4</v>
      </c>
      <c r="F10" s="88">
        <v>5</v>
      </c>
      <c r="G10" s="88">
        <v>6</v>
      </c>
      <c r="H10" s="162"/>
      <c r="I10" s="168" t="s">
        <v>132</v>
      </c>
      <c r="J10" s="172"/>
      <c r="K10" s="178"/>
      <c r="L10" s="212"/>
      <c r="M10" s="87"/>
      <c r="N10" s="87"/>
    </row>
    <row r="11" spans="1:14" ht="15.6" x14ac:dyDescent="0.3">
      <c r="A11" s="202"/>
      <c r="B11" s="208"/>
      <c r="C11" s="88"/>
      <c r="D11" s="203"/>
      <c r="E11" s="88"/>
      <c r="F11" s="88"/>
      <c r="G11" s="88"/>
      <c r="H11" s="162"/>
      <c r="I11" s="168"/>
      <c r="J11" s="172"/>
      <c r="K11" s="178"/>
      <c r="L11" s="212"/>
      <c r="M11" s="87"/>
      <c r="N11" s="87"/>
    </row>
    <row r="12" spans="1:14" ht="15.6" x14ac:dyDescent="0.3">
      <c r="A12" s="202"/>
      <c r="B12" s="208" t="s">
        <v>0</v>
      </c>
      <c r="C12" s="88"/>
      <c r="D12" s="203"/>
      <c r="E12" s="88"/>
      <c r="F12" s="88"/>
      <c r="G12" s="88"/>
      <c r="H12" s="162"/>
      <c r="I12" s="168"/>
      <c r="J12" s="172"/>
      <c r="K12" s="178"/>
      <c r="L12" s="212"/>
      <c r="M12" s="87"/>
      <c r="N12" s="87"/>
    </row>
    <row r="13" spans="1:14" ht="15.6" x14ac:dyDescent="0.3">
      <c r="A13" s="202"/>
      <c r="B13" s="208"/>
      <c r="C13" s="88" t="s">
        <v>133</v>
      </c>
      <c r="D13" s="203"/>
      <c r="E13" s="88"/>
      <c r="F13" s="88"/>
      <c r="G13" s="88"/>
      <c r="H13" s="162"/>
      <c r="I13" s="168"/>
      <c r="J13" s="172"/>
      <c r="K13" s="178"/>
      <c r="L13" s="212"/>
      <c r="M13" s="87"/>
      <c r="N13" s="87"/>
    </row>
    <row r="14" spans="1:14" ht="15.6" x14ac:dyDescent="0.3">
      <c r="A14" s="202"/>
      <c r="B14" s="208"/>
      <c r="C14" s="88"/>
      <c r="D14" s="203">
        <v>5</v>
      </c>
      <c r="E14" s="88">
        <v>10</v>
      </c>
      <c r="F14" s="88"/>
      <c r="G14" s="88"/>
      <c r="H14" s="162"/>
      <c r="I14" s="168" t="s">
        <v>3</v>
      </c>
      <c r="J14" s="172"/>
      <c r="K14" s="178"/>
      <c r="L14" s="212"/>
      <c r="M14" s="87"/>
      <c r="N14" s="87"/>
    </row>
    <row r="15" spans="1:14" ht="15.6" x14ac:dyDescent="0.3">
      <c r="A15" s="202"/>
      <c r="B15" s="208"/>
      <c r="C15" s="88"/>
      <c r="D15" s="203">
        <v>15</v>
      </c>
      <c r="E15" s="88">
        <v>12</v>
      </c>
      <c r="F15" s="88"/>
      <c r="G15" s="88"/>
      <c r="H15" s="162"/>
      <c r="I15" s="168"/>
      <c r="J15" s="172"/>
      <c r="K15" s="178"/>
      <c r="L15" s="212"/>
      <c r="M15" s="87"/>
      <c r="N15" s="87"/>
    </row>
    <row r="16" spans="1:14" ht="16.2" thickBot="1" x14ac:dyDescent="0.35">
      <c r="A16" s="204"/>
      <c r="B16" s="209"/>
      <c r="C16" s="93"/>
      <c r="D16" s="93"/>
      <c r="E16" s="93"/>
      <c r="F16" s="93"/>
      <c r="G16" s="93"/>
      <c r="H16" s="93"/>
      <c r="I16" s="93"/>
      <c r="J16" s="93"/>
      <c r="K16" s="93"/>
      <c r="L16" s="205"/>
      <c r="M16" s="87"/>
      <c r="N16" s="87"/>
    </row>
    <row r="17" spans="1:14" ht="16.2" thickTop="1" x14ac:dyDescent="0.3">
      <c r="A17" s="86"/>
      <c r="B17" s="147"/>
      <c r="C17" s="87"/>
      <c r="D17" s="87"/>
      <c r="E17" s="79"/>
      <c r="F17" s="79"/>
      <c r="G17" s="79"/>
      <c r="H17" s="79"/>
      <c r="I17" s="194" t="s">
        <v>70</v>
      </c>
      <c r="J17" s="195"/>
      <c r="K17" s="195"/>
      <c r="L17" s="196">
        <f>SUM(L5:L16)</f>
        <v>0</v>
      </c>
      <c r="M17" s="79"/>
      <c r="N17" s="87"/>
    </row>
    <row r="18" spans="1:14" ht="15.6" x14ac:dyDescent="0.3">
      <c r="A18" s="86"/>
      <c r="B18" s="147"/>
      <c r="C18" s="87"/>
      <c r="D18" s="87"/>
      <c r="E18" s="79"/>
      <c r="F18" s="79"/>
      <c r="G18" s="79"/>
      <c r="H18" s="79"/>
      <c r="I18" s="197" t="s">
        <v>71</v>
      </c>
      <c r="J18" s="5"/>
      <c r="K18" s="198">
        <v>0</v>
      </c>
      <c r="L18" s="199">
        <f>$L$17 * ($K$18)</f>
        <v>0</v>
      </c>
      <c r="M18" s="79"/>
      <c r="N18" s="87"/>
    </row>
    <row r="19" spans="1:14" ht="15.6" x14ac:dyDescent="0.3">
      <c r="A19" s="86"/>
      <c r="B19" s="147"/>
      <c r="C19" s="87"/>
      <c r="D19" s="87"/>
      <c r="E19" s="79"/>
      <c r="F19" s="79"/>
      <c r="G19" s="79"/>
      <c r="H19" s="79"/>
      <c r="I19" s="197" t="s">
        <v>72</v>
      </c>
      <c r="J19" s="5"/>
      <c r="K19" s="5"/>
      <c r="L19" s="199">
        <f>$L$17 + $L$18</f>
        <v>0</v>
      </c>
      <c r="M19" s="79"/>
      <c r="N19" s="87"/>
    </row>
    <row r="20" spans="1:14" ht="15.6" x14ac:dyDescent="0.3">
      <c r="A20" s="86"/>
      <c r="B20" s="147"/>
      <c r="C20" s="87"/>
      <c r="D20" s="87"/>
      <c r="E20" s="79"/>
      <c r="F20" s="79"/>
      <c r="G20" s="79"/>
      <c r="H20" s="79"/>
      <c r="I20" s="197" t="s">
        <v>73</v>
      </c>
      <c r="J20" s="5"/>
      <c r="K20" s="5"/>
      <c r="L20" s="199">
        <f>$L$19*0.18</f>
        <v>0</v>
      </c>
      <c r="M20" s="79"/>
      <c r="N20" s="87"/>
    </row>
    <row r="21" spans="1:14" ht="15.6" x14ac:dyDescent="0.3">
      <c r="A21" s="86"/>
      <c r="B21" s="147"/>
      <c r="C21" s="87"/>
      <c r="D21" s="87"/>
      <c r="E21" s="79"/>
      <c r="F21" s="79"/>
      <c r="G21" s="79"/>
      <c r="H21" s="79"/>
      <c r="I21" s="197" t="s">
        <v>74</v>
      </c>
      <c r="J21" s="5"/>
      <c r="K21" s="198">
        <v>0</v>
      </c>
      <c r="L21" s="200">
        <f>$L$19 * ($K$21)</f>
        <v>0</v>
      </c>
      <c r="M21" s="79"/>
      <c r="N21" s="87"/>
    </row>
    <row r="22" spans="1:14" ht="16.2" thickBot="1" x14ac:dyDescent="0.35">
      <c r="A22" s="86"/>
      <c r="B22" s="147"/>
      <c r="C22" s="87"/>
      <c r="D22" s="87"/>
      <c r="E22" s="79"/>
      <c r="F22" s="79"/>
      <c r="G22" s="79"/>
      <c r="H22" s="79"/>
      <c r="I22" s="201" t="s">
        <v>75</v>
      </c>
      <c r="J22" s="6"/>
      <c r="K22" s="6"/>
      <c r="L22" s="7">
        <f>$L$19+$L$20+$L$21</f>
        <v>0</v>
      </c>
      <c r="M22" s="79"/>
      <c r="N22" s="87"/>
    </row>
    <row r="23" spans="1:14" ht="16.2" thickTop="1" x14ac:dyDescent="0.3">
      <c r="A23" s="86"/>
      <c r="B23" s="147"/>
      <c r="C23" s="87"/>
      <c r="D23" s="87"/>
      <c r="E23" s="79"/>
      <c r="F23" s="79"/>
      <c r="G23" s="79"/>
      <c r="H23" s="79"/>
      <c r="I23" s="3"/>
      <c r="J23" s="3"/>
      <c r="K23" s="3"/>
      <c r="L23" s="3"/>
      <c r="M23" s="79"/>
      <c r="N23" s="87"/>
    </row>
    <row r="24" spans="1:14" ht="18" x14ac:dyDescent="0.3">
      <c r="B24" s="148"/>
      <c r="E24" s="79"/>
      <c r="F24" s="79"/>
      <c r="G24" s="79"/>
      <c r="H24" s="192" t="s">
        <v>130</v>
      </c>
      <c r="I24" s="193" t="str">
        <f>IF(L22&gt;=100000,ROUND(L22/100000,2)&amp;" Lakh",IF(L22&gt;=1000,ROUND(L22/1000,2)&amp;" Thousand",ROUND(L22,0))) &amp; " Only"</f>
        <v>0 Only</v>
      </c>
      <c r="J24" s="191"/>
      <c r="K24" s="191"/>
      <c r="L24" s="191"/>
      <c r="M24" s="79"/>
    </row>
    <row r="25" spans="1:14" x14ac:dyDescent="0.3">
      <c r="B25" s="148"/>
      <c r="E25" s="79"/>
      <c r="F25" s="79"/>
      <c r="G25" s="79"/>
      <c r="H25" s="79"/>
      <c r="I25" s="79"/>
      <c r="J25" s="79"/>
      <c r="K25" s="79"/>
      <c r="L25" s="79"/>
      <c r="M25" s="79"/>
    </row>
    <row r="26" spans="1:14" x14ac:dyDescent="0.3">
      <c r="B26" s="148"/>
    </row>
    <row r="27" spans="1:14" x14ac:dyDescent="0.3">
      <c r="B27" s="148"/>
    </row>
    <row r="28" spans="1:14" hidden="1" x14ac:dyDescent="0.3">
      <c r="B28" s="148"/>
    </row>
    <row r="29" spans="1:14" hidden="1" x14ac:dyDescent="0.3">
      <c r="B29" s="148"/>
    </row>
    <row r="30" spans="1:14" hidden="1" x14ac:dyDescent="0.3">
      <c r="B30" s="148"/>
    </row>
    <row r="31" spans="1:14" hidden="1" x14ac:dyDescent="0.3">
      <c r="B31" s="148"/>
    </row>
    <row r="32" spans="1:14" hidden="1" x14ac:dyDescent="0.3">
      <c r="B32" s="148"/>
    </row>
    <row r="33" spans="2:2" hidden="1" x14ac:dyDescent="0.3">
      <c r="B33" s="148"/>
    </row>
    <row r="34" spans="2:2" hidden="1" x14ac:dyDescent="0.3">
      <c r="B34" s="148"/>
    </row>
    <row r="35" spans="2:2" hidden="1" x14ac:dyDescent="0.3">
      <c r="B35" s="148"/>
    </row>
    <row r="36" spans="2:2" hidden="1" x14ac:dyDescent="0.3">
      <c r="B36" s="148"/>
    </row>
    <row r="37" spans="2:2" hidden="1" x14ac:dyDescent="0.3">
      <c r="B37" s="148"/>
    </row>
    <row r="38" spans="2:2" hidden="1" x14ac:dyDescent="0.3">
      <c r="B38" s="148"/>
    </row>
    <row r="39" spans="2:2" hidden="1" x14ac:dyDescent="0.3">
      <c r="B39" s="148"/>
    </row>
    <row r="40" spans="2:2" hidden="1" x14ac:dyDescent="0.3">
      <c r="B40" s="148"/>
    </row>
    <row r="41" spans="2:2" hidden="1" x14ac:dyDescent="0.3">
      <c r="B41" s="148"/>
    </row>
    <row r="42" spans="2:2" hidden="1" x14ac:dyDescent="0.3">
      <c r="B42" s="148"/>
    </row>
    <row r="43" spans="2:2" hidden="1" x14ac:dyDescent="0.3">
      <c r="B43" s="148"/>
    </row>
    <row r="44" spans="2:2" hidden="1" x14ac:dyDescent="0.3">
      <c r="B44" s="148"/>
    </row>
    <row r="45" spans="2:2" hidden="1" x14ac:dyDescent="0.3">
      <c r="B45" s="148"/>
    </row>
    <row r="46" spans="2:2" hidden="1" x14ac:dyDescent="0.3">
      <c r="B46" s="148"/>
    </row>
    <row r="47" spans="2:2" hidden="1" x14ac:dyDescent="0.3">
      <c r="B47" s="148"/>
    </row>
    <row r="48" spans="2:2" hidden="1" x14ac:dyDescent="0.3">
      <c r="B48" s="148"/>
    </row>
    <row r="49" spans="2:2" hidden="1" x14ac:dyDescent="0.3">
      <c r="B49" s="148"/>
    </row>
    <row r="50" spans="2:2" hidden="1" x14ac:dyDescent="0.3">
      <c r="B50" s="148"/>
    </row>
    <row r="51" spans="2:2" hidden="1" x14ac:dyDescent="0.3">
      <c r="B51" s="148"/>
    </row>
    <row r="52" spans="2:2" hidden="1" x14ac:dyDescent="0.3">
      <c r="B52" s="148"/>
    </row>
    <row r="53" spans="2:2" hidden="1" x14ac:dyDescent="0.3">
      <c r="B53" s="148"/>
    </row>
    <row r="54" spans="2:2" hidden="1" x14ac:dyDescent="0.3">
      <c r="B54" s="148"/>
    </row>
    <row r="55" spans="2:2" hidden="1" x14ac:dyDescent="0.3">
      <c r="B55" s="148"/>
    </row>
    <row r="56" spans="2:2" hidden="1" x14ac:dyDescent="0.3">
      <c r="B56" s="148"/>
    </row>
    <row r="57" spans="2:2" hidden="1" x14ac:dyDescent="0.3">
      <c r="B57" s="148"/>
    </row>
    <row r="58" spans="2:2" hidden="1" x14ac:dyDescent="0.3">
      <c r="B58" s="148"/>
    </row>
    <row r="59" spans="2:2" hidden="1" x14ac:dyDescent="0.3">
      <c r="B59" s="148"/>
    </row>
    <row r="60" spans="2:2" hidden="1" x14ac:dyDescent="0.3">
      <c r="B60" s="148"/>
    </row>
    <row r="61" spans="2:2" hidden="1" x14ac:dyDescent="0.3">
      <c r="B61" s="148"/>
    </row>
    <row r="62" spans="2:2" hidden="1" x14ac:dyDescent="0.3">
      <c r="B62" s="148"/>
    </row>
    <row r="63" spans="2:2" hidden="1" x14ac:dyDescent="0.3">
      <c r="B63" s="148"/>
    </row>
    <row r="64" spans="2:2" hidden="1" x14ac:dyDescent="0.3">
      <c r="B64" s="148"/>
    </row>
    <row r="65" spans="2:2" hidden="1" x14ac:dyDescent="0.3">
      <c r="B65" s="148"/>
    </row>
    <row r="66" spans="2:2" hidden="1" x14ac:dyDescent="0.3">
      <c r="B66" s="148"/>
    </row>
    <row r="67" spans="2:2" hidden="1" x14ac:dyDescent="0.3">
      <c r="B67" s="148"/>
    </row>
    <row r="68" spans="2:2" hidden="1" x14ac:dyDescent="0.3">
      <c r="B68" s="148"/>
    </row>
    <row r="69" spans="2:2" hidden="1" x14ac:dyDescent="0.3">
      <c r="B69" s="148"/>
    </row>
    <row r="70" spans="2:2" hidden="1" x14ac:dyDescent="0.3">
      <c r="B70" s="148"/>
    </row>
    <row r="71" spans="2:2" hidden="1" x14ac:dyDescent="0.3">
      <c r="B71" s="148"/>
    </row>
    <row r="72" spans="2:2" hidden="1" x14ac:dyDescent="0.3">
      <c r="B72" s="148"/>
    </row>
    <row r="73" spans="2:2" hidden="1" x14ac:dyDescent="0.3">
      <c r="B73" s="148"/>
    </row>
    <row r="74" spans="2:2" hidden="1" x14ac:dyDescent="0.3">
      <c r="B74" s="148"/>
    </row>
    <row r="75" spans="2:2" hidden="1" x14ac:dyDescent="0.3">
      <c r="B75" s="148"/>
    </row>
    <row r="76" spans="2:2" hidden="1" x14ac:dyDescent="0.3">
      <c r="B76" s="148"/>
    </row>
    <row r="77" spans="2:2" hidden="1" x14ac:dyDescent="0.3">
      <c r="B77" s="148"/>
    </row>
    <row r="78" spans="2:2" hidden="1" x14ac:dyDescent="0.3">
      <c r="B78" s="148"/>
    </row>
    <row r="79" spans="2:2" hidden="1" x14ac:dyDescent="0.3">
      <c r="B79" s="148"/>
    </row>
    <row r="80" spans="2:2" hidden="1" x14ac:dyDescent="0.3">
      <c r="B80" s="148"/>
    </row>
    <row r="81" spans="2:2" hidden="1" x14ac:dyDescent="0.3">
      <c r="B81" s="148"/>
    </row>
    <row r="82" spans="2:2" hidden="1" x14ac:dyDescent="0.3">
      <c r="B82" s="148"/>
    </row>
    <row r="83" spans="2:2" hidden="1" x14ac:dyDescent="0.3">
      <c r="B83" s="148"/>
    </row>
    <row r="84" spans="2:2" hidden="1" x14ac:dyDescent="0.3">
      <c r="B84" s="148"/>
    </row>
    <row r="85" spans="2:2" hidden="1" x14ac:dyDescent="0.3">
      <c r="B85" s="148"/>
    </row>
    <row r="86" spans="2:2" hidden="1" x14ac:dyDescent="0.3">
      <c r="B86" s="148"/>
    </row>
    <row r="87" spans="2:2" hidden="1" x14ac:dyDescent="0.3">
      <c r="B87" s="148"/>
    </row>
    <row r="88" spans="2:2" hidden="1" x14ac:dyDescent="0.3">
      <c r="B88" s="148"/>
    </row>
    <row r="89" spans="2:2" hidden="1" x14ac:dyDescent="0.3">
      <c r="B89" s="148"/>
    </row>
    <row r="90" spans="2:2" hidden="1" x14ac:dyDescent="0.3">
      <c r="B90" s="148"/>
    </row>
    <row r="91" spans="2:2" hidden="1" x14ac:dyDescent="0.3">
      <c r="B91" s="148"/>
    </row>
    <row r="92" spans="2:2" hidden="1" x14ac:dyDescent="0.3">
      <c r="B92" s="148"/>
    </row>
    <row r="93" spans="2:2" hidden="1" x14ac:dyDescent="0.3">
      <c r="B93" s="148"/>
    </row>
    <row r="94" spans="2:2" hidden="1" x14ac:dyDescent="0.3">
      <c r="B94" s="148"/>
    </row>
    <row r="95" spans="2:2" hidden="1" x14ac:dyDescent="0.3">
      <c r="B95" s="148"/>
    </row>
    <row r="96" spans="2:2" hidden="1" x14ac:dyDescent="0.3">
      <c r="B96" s="148"/>
    </row>
    <row r="97" spans="2:2" hidden="1" x14ac:dyDescent="0.3">
      <c r="B97" s="148"/>
    </row>
    <row r="98" spans="2:2" hidden="1" x14ac:dyDescent="0.3">
      <c r="B98" s="148"/>
    </row>
    <row r="99" spans="2:2" hidden="1" x14ac:dyDescent="0.3">
      <c r="B99" s="148"/>
    </row>
    <row r="100" spans="2:2" hidden="1" x14ac:dyDescent="0.3">
      <c r="B100" s="148"/>
    </row>
    <row r="101" spans="2:2" hidden="1" x14ac:dyDescent="0.3">
      <c r="B101" s="148"/>
    </row>
    <row r="102" spans="2:2" hidden="1" x14ac:dyDescent="0.3">
      <c r="B102" s="148"/>
    </row>
    <row r="103" spans="2:2" hidden="1" x14ac:dyDescent="0.3">
      <c r="B103" s="148"/>
    </row>
    <row r="104" spans="2:2" hidden="1" x14ac:dyDescent="0.3">
      <c r="B104" s="148"/>
    </row>
    <row r="105" spans="2:2" hidden="1" x14ac:dyDescent="0.3">
      <c r="B105" s="148"/>
    </row>
    <row r="106" spans="2:2" hidden="1" x14ac:dyDescent="0.3">
      <c r="B106" s="148"/>
    </row>
    <row r="107" spans="2:2" hidden="1" x14ac:dyDescent="0.3">
      <c r="B107" s="148"/>
    </row>
    <row r="108" spans="2:2" hidden="1" x14ac:dyDescent="0.3">
      <c r="B108" s="148"/>
    </row>
    <row r="109" spans="2:2" hidden="1" x14ac:dyDescent="0.3">
      <c r="B109" s="148"/>
    </row>
    <row r="110" spans="2:2" hidden="1" x14ac:dyDescent="0.3">
      <c r="B110" s="148"/>
    </row>
    <row r="111" spans="2:2" hidden="1" x14ac:dyDescent="0.3">
      <c r="B111" s="148"/>
    </row>
    <row r="112" spans="2:2" hidden="1" x14ac:dyDescent="0.3">
      <c r="B112" s="148"/>
    </row>
    <row r="113" spans="2:2" hidden="1" x14ac:dyDescent="0.3">
      <c r="B113" s="148"/>
    </row>
    <row r="114" spans="2:2" hidden="1" x14ac:dyDescent="0.3">
      <c r="B114" s="148"/>
    </row>
    <row r="115" spans="2:2" hidden="1" x14ac:dyDescent="0.3">
      <c r="B115" s="148"/>
    </row>
    <row r="116" spans="2:2" hidden="1" x14ac:dyDescent="0.3">
      <c r="B116" s="148"/>
    </row>
    <row r="117" spans="2:2" hidden="1" x14ac:dyDescent="0.3">
      <c r="B117" s="148"/>
    </row>
    <row r="118" spans="2:2" hidden="1" x14ac:dyDescent="0.3">
      <c r="B118" s="148"/>
    </row>
    <row r="119" spans="2:2" hidden="1" x14ac:dyDescent="0.3">
      <c r="B119" s="148"/>
    </row>
    <row r="120" spans="2:2" hidden="1" x14ac:dyDescent="0.3">
      <c r="B120" s="148"/>
    </row>
    <row r="121" spans="2:2" hidden="1" x14ac:dyDescent="0.3">
      <c r="B121" s="148"/>
    </row>
    <row r="122" spans="2:2" hidden="1" x14ac:dyDescent="0.3">
      <c r="B122" s="148"/>
    </row>
    <row r="123" spans="2:2" hidden="1" x14ac:dyDescent="0.3">
      <c r="B123" s="148"/>
    </row>
    <row r="124" spans="2:2" hidden="1" x14ac:dyDescent="0.3">
      <c r="B124" s="148"/>
    </row>
    <row r="125" spans="2:2" hidden="1" x14ac:dyDescent="0.3">
      <c r="B125" s="148"/>
    </row>
    <row r="126" spans="2:2" hidden="1" x14ac:dyDescent="0.3">
      <c r="B126" s="148"/>
    </row>
    <row r="127" spans="2:2" hidden="1" x14ac:dyDescent="0.3">
      <c r="B127" s="148"/>
    </row>
    <row r="128" spans="2:2" hidden="1" x14ac:dyDescent="0.3">
      <c r="B128" s="148"/>
    </row>
    <row r="129" spans="2:2" hidden="1" x14ac:dyDescent="0.3">
      <c r="B129" s="148"/>
    </row>
    <row r="130" spans="2:2" hidden="1" x14ac:dyDescent="0.3">
      <c r="B130" s="148"/>
    </row>
    <row r="131" spans="2:2" hidden="1" x14ac:dyDescent="0.3">
      <c r="B131" s="148"/>
    </row>
    <row r="132" spans="2:2" hidden="1" x14ac:dyDescent="0.3">
      <c r="B132" s="148"/>
    </row>
    <row r="133" spans="2:2" hidden="1" x14ac:dyDescent="0.3">
      <c r="B133" s="148"/>
    </row>
    <row r="134" spans="2:2" hidden="1" x14ac:dyDescent="0.3">
      <c r="B134" s="148"/>
    </row>
    <row r="135" spans="2:2" hidden="1" x14ac:dyDescent="0.3">
      <c r="B135" s="148"/>
    </row>
    <row r="136" spans="2:2" hidden="1" x14ac:dyDescent="0.3">
      <c r="B136" s="148"/>
    </row>
    <row r="137" spans="2:2" hidden="1" x14ac:dyDescent="0.3">
      <c r="B137" s="148"/>
    </row>
    <row r="138" spans="2:2" hidden="1" x14ac:dyDescent="0.3">
      <c r="B138" s="148"/>
    </row>
    <row r="139" spans="2:2" hidden="1" x14ac:dyDescent="0.3">
      <c r="B139" s="148"/>
    </row>
    <row r="140" spans="2:2" hidden="1" x14ac:dyDescent="0.3">
      <c r="B140" s="148"/>
    </row>
    <row r="141" spans="2:2" hidden="1" x14ac:dyDescent="0.3">
      <c r="B141" s="148"/>
    </row>
    <row r="142" spans="2:2" hidden="1" x14ac:dyDescent="0.3">
      <c r="B142" s="148"/>
    </row>
    <row r="143" spans="2:2" hidden="1" x14ac:dyDescent="0.3">
      <c r="B143" s="148"/>
    </row>
    <row r="144" spans="2:2" hidden="1" x14ac:dyDescent="0.3">
      <c r="B144" s="148"/>
    </row>
    <row r="145" spans="2:2" hidden="1" x14ac:dyDescent="0.3">
      <c r="B145" s="148"/>
    </row>
    <row r="146" spans="2:2" hidden="1" x14ac:dyDescent="0.3">
      <c r="B146" s="148"/>
    </row>
    <row r="147" spans="2:2" hidden="1" x14ac:dyDescent="0.3">
      <c r="B147" s="148"/>
    </row>
    <row r="148" spans="2:2" hidden="1" x14ac:dyDescent="0.3">
      <c r="B148" s="148"/>
    </row>
    <row r="149" spans="2:2" hidden="1" x14ac:dyDescent="0.3">
      <c r="B149" s="148"/>
    </row>
    <row r="150" spans="2:2" hidden="1" x14ac:dyDescent="0.3">
      <c r="B150" s="148"/>
    </row>
    <row r="151" spans="2:2" hidden="1" x14ac:dyDescent="0.3">
      <c r="B151" s="148"/>
    </row>
    <row r="152" spans="2:2" hidden="1" x14ac:dyDescent="0.3">
      <c r="B152" s="148"/>
    </row>
    <row r="153" spans="2:2" hidden="1" x14ac:dyDescent="0.3">
      <c r="B153" s="148"/>
    </row>
    <row r="154" spans="2:2" hidden="1" x14ac:dyDescent="0.3">
      <c r="B154" s="148"/>
    </row>
    <row r="155" spans="2:2" hidden="1" x14ac:dyDescent="0.3">
      <c r="B155" s="148"/>
    </row>
    <row r="156" spans="2:2" hidden="1" x14ac:dyDescent="0.3">
      <c r="B156" s="148"/>
    </row>
    <row r="157" spans="2:2" hidden="1" x14ac:dyDescent="0.3">
      <c r="B157" s="148"/>
    </row>
    <row r="158" spans="2:2" hidden="1" x14ac:dyDescent="0.3">
      <c r="B158" s="148"/>
    </row>
    <row r="159" spans="2:2" hidden="1" x14ac:dyDescent="0.3">
      <c r="B159" s="148"/>
    </row>
    <row r="160" spans="2:2" hidden="1" x14ac:dyDescent="0.3">
      <c r="B160" s="148"/>
    </row>
    <row r="161" spans="2:2" hidden="1" x14ac:dyDescent="0.3">
      <c r="B161" s="148"/>
    </row>
    <row r="162" spans="2:2" hidden="1" x14ac:dyDescent="0.3">
      <c r="B162" s="148"/>
    </row>
    <row r="163" spans="2:2" hidden="1" x14ac:dyDescent="0.3">
      <c r="B163" s="148"/>
    </row>
    <row r="164" spans="2:2" hidden="1" x14ac:dyDescent="0.3">
      <c r="B164" s="148"/>
    </row>
    <row r="165" spans="2:2" hidden="1" x14ac:dyDescent="0.3">
      <c r="B165" s="148"/>
    </row>
    <row r="166" spans="2:2" hidden="1" x14ac:dyDescent="0.3">
      <c r="B166" s="148"/>
    </row>
    <row r="167" spans="2:2" hidden="1" x14ac:dyDescent="0.3">
      <c r="B167" s="148"/>
    </row>
    <row r="168" spans="2:2" hidden="1" x14ac:dyDescent="0.3">
      <c r="B168" s="148"/>
    </row>
    <row r="169" spans="2:2" hidden="1" x14ac:dyDescent="0.3">
      <c r="B169" s="148"/>
    </row>
    <row r="170" spans="2:2" hidden="1" x14ac:dyDescent="0.3">
      <c r="B170" s="148"/>
    </row>
    <row r="171" spans="2:2" hidden="1" x14ac:dyDescent="0.3">
      <c r="B171" s="148"/>
    </row>
    <row r="172" spans="2:2" hidden="1" x14ac:dyDescent="0.3">
      <c r="B172" s="148"/>
    </row>
    <row r="173" spans="2:2" hidden="1" x14ac:dyDescent="0.3">
      <c r="B173" s="148"/>
    </row>
    <row r="174" spans="2:2" hidden="1" x14ac:dyDescent="0.3">
      <c r="B174" s="148"/>
    </row>
    <row r="175" spans="2:2" hidden="1" x14ac:dyDescent="0.3">
      <c r="B175" s="148"/>
    </row>
    <row r="176" spans="2:2" hidden="1" x14ac:dyDescent="0.3">
      <c r="B176" s="148"/>
    </row>
    <row r="177" spans="2:2" hidden="1" x14ac:dyDescent="0.3">
      <c r="B177" s="148"/>
    </row>
    <row r="178" spans="2:2" hidden="1" x14ac:dyDescent="0.3">
      <c r="B178" s="148"/>
    </row>
    <row r="179" spans="2:2" hidden="1" x14ac:dyDescent="0.3">
      <c r="B179" s="148"/>
    </row>
    <row r="180" spans="2:2" hidden="1" x14ac:dyDescent="0.3">
      <c r="B180" s="148"/>
    </row>
    <row r="181" spans="2:2" hidden="1" x14ac:dyDescent="0.3">
      <c r="B181" s="148"/>
    </row>
    <row r="182" spans="2:2" hidden="1" x14ac:dyDescent="0.3">
      <c r="B182" s="148"/>
    </row>
    <row r="183" spans="2:2" hidden="1" x14ac:dyDescent="0.3">
      <c r="B183" s="148"/>
    </row>
    <row r="184" spans="2:2" hidden="1" x14ac:dyDescent="0.3">
      <c r="B184" s="148"/>
    </row>
    <row r="185" spans="2:2" hidden="1" x14ac:dyDescent="0.3">
      <c r="B185" s="148"/>
    </row>
    <row r="186" spans="2:2" hidden="1" x14ac:dyDescent="0.3">
      <c r="B186" s="148"/>
    </row>
    <row r="187" spans="2:2" hidden="1" x14ac:dyDescent="0.3">
      <c r="B187" s="148"/>
    </row>
    <row r="188" spans="2:2" hidden="1" x14ac:dyDescent="0.3">
      <c r="B188" s="148"/>
    </row>
    <row r="189" spans="2:2" hidden="1" x14ac:dyDescent="0.3">
      <c r="B189" s="148"/>
    </row>
    <row r="190" spans="2:2" hidden="1" x14ac:dyDescent="0.3">
      <c r="B190" s="148"/>
    </row>
    <row r="191" spans="2:2" hidden="1" x14ac:dyDescent="0.3">
      <c r="B191" s="148"/>
    </row>
    <row r="192" spans="2:2" hidden="1" x14ac:dyDescent="0.3">
      <c r="B192" s="148"/>
    </row>
    <row r="193" spans="2:2" hidden="1" x14ac:dyDescent="0.3">
      <c r="B193" s="148"/>
    </row>
    <row r="194" spans="2:2" hidden="1" x14ac:dyDescent="0.3">
      <c r="B194" s="148"/>
    </row>
    <row r="195" spans="2:2" hidden="1" x14ac:dyDescent="0.3">
      <c r="B195" s="148"/>
    </row>
    <row r="196" spans="2:2" hidden="1" x14ac:dyDescent="0.3">
      <c r="B196" s="148"/>
    </row>
    <row r="197" spans="2:2" hidden="1" x14ac:dyDescent="0.3">
      <c r="B197" s="148"/>
    </row>
    <row r="198" spans="2:2" hidden="1" x14ac:dyDescent="0.3">
      <c r="B198" s="148"/>
    </row>
    <row r="199" spans="2:2" hidden="1" x14ac:dyDescent="0.3">
      <c r="B199" s="148"/>
    </row>
    <row r="200" spans="2:2" hidden="1" x14ac:dyDescent="0.3">
      <c r="B200" s="148"/>
    </row>
    <row r="201" spans="2:2" hidden="1" x14ac:dyDescent="0.3">
      <c r="B201" s="148"/>
    </row>
    <row r="202" spans="2:2" hidden="1" x14ac:dyDescent="0.3">
      <c r="B202" s="148"/>
    </row>
    <row r="203" spans="2:2" hidden="1" x14ac:dyDescent="0.3">
      <c r="B203" s="148"/>
    </row>
    <row r="204" spans="2:2" hidden="1" x14ac:dyDescent="0.3">
      <c r="B204" s="148"/>
    </row>
    <row r="205" spans="2:2" hidden="1" x14ac:dyDescent="0.3">
      <c r="B205" s="148"/>
    </row>
    <row r="206" spans="2:2" hidden="1" x14ac:dyDescent="0.3">
      <c r="B206" s="148"/>
    </row>
    <row r="207" spans="2:2" hidden="1" x14ac:dyDescent="0.3">
      <c r="B207" s="148"/>
    </row>
    <row r="208" spans="2:2" hidden="1" x14ac:dyDescent="0.3">
      <c r="B208" s="148"/>
    </row>
    <row r="209" spans="2:2" hidden="1" x14ac:dyDescent="0.3">
      <c r="B209" s="148"/>
    </row>
    <row r="210" spans="2:2" hidden="1" x14ac:dyDescent="0.3">
      <c r="B210" s="148"/>
    </row>
    <row r="211" spans="2:2" hidden="1" x14ac:dyDescent="0.3">
      <c r="B211" s="148"/>
    </row>
    <row r="212" spans="2:2" hidden="1" x14ac:dyDescent="0.3">
      <c r="B212" s="148"/>
    </row>
    <row r="213" spans="2:2" hidden="1" x14ac:dyDescent="0.3">
      <c r="B213" s="148"/>
    </row>
    <row r="214" spans="2:2" hidden="1" x14ac:dyDescent="0.3">
      <c r="B214" s="148"/>
    </row>
    <row r="215" spans="2:2" hidden="1" x14ac:dyDescent="0.3">
      <c r="B215" s="148"/>
    </row>
    <row r="216" spans="2:2" hidden="1" x14ac:dyDescent="0.3">
      <c r="B216" s="148"/>
    </row>
    <row r="217" spans="2:2" hidden="1" x14ac:dyDescent="0.3">
      <c r="B217" s="148"/>
    </row>
    <row r="218" spans="2:2" hidden="1" x14ac:dyDescent="0.3">
      <c r="B218" s="148"/>
    </row>
    <row r="219" spans="2:2" hidden="1" x14ac:dyDescent="0.3">
      <c r="B219" s="148"/>
    </row>
    <row r="220" spans="2:2" hidden="1" x14ac:dyDescent="0.3">
      <c r="B220" s="148"/>
    </row>
    <row r="221" spans="2:2" hidden="1" x14ac:dyDescent="0.3">
      <c r="B221" s="148"/>
    </row>
    <row r="222" spans="2:2" hidden="1" x14ac:dyDescent="0.3">
      <c r="B222" s="148"/>
    </row>
    <row r="223" spans="2:2" hidden="1" x14ac:dyDescent="0.3">
      <c r="B223" s="148"/>
    </row>
    <row r="224" spans="2:2" hidden="1" x14ac:dyDescent="0.3">
      <c r="B224" s="148"/>
    </row>
    <row r="225" spans="2:2" hidden="1" x14ac:dyDescent="0.3">
      <c r="B225" s="148"/>
    </row>
    <row r="226" spans="2:2" hidden="1" x14ac:dyDescent="0.3">
      <c r="B226" s="148"/>
    </row>
    <row r="227" spans="2:2" hidden="1" x14ac:dyDescent="0.3">
      <c r="B227" s="148"/>
    </row>
    <row r="228" spans="2:2" hidden="1" x14ac:dyDescent="0.3">
      <c r="B228" s="148"/>
    </row>
    <row r="229" spans="2:2" hidden="1" x14ac:dyDescent="0.3">
      <c r="B229" s="148"/>
    </row>
    <row r="230" spans="2:2" hidden="1" x14ac:dyDescent="0.3">
      <c r="B230" s="148"/>
    </row>
    <row r="231" spans="2:2" hidden="1" x14ac:dyDescent="0.3">
      <c r="B231" s="148"/>
    </row>
    <row r="232" spans="2:2" hidden="1" x14ac:dyDescent="0.3">
      <c r="B232" s="148"/>
    </row>
    <row r="233" spans="2:2" hidden="1" x14ac:dyDescent="0.3">
      <c r="B233" s="148"/>
    </row>
    <row r="234" spans="2:2" hidden="1" x14ac:dyDescent="0.3">
      <c r="B234" s="148"/>
    </row>
    <row r="235" spans="2:2" hidden="1" x14ac:dyDescent="0.3">
      <c r="B235" s="148"/>
    </row>
    <row r="236" spans="2:2" hidden="1" x14ac:dyDescent="0.3">
      <c r="B236" s="148"/>
    </row>
    <row r="237" spans="2:2" hidden="1" x14ac:dyDescent="0.3">
      <c r="B237" s="148"/>
    </row>
    <row r="238" spans="2:2" hidden="1" x14ac:dyDescent="0.3">
      <c r="B238" s="148"/>
    </row>
    <row r="239" spans="2:2" hidden="1" x14ac:dyDescent="0.3">
      <c r="B239" s="148"/>
    </row>
    <row r="240" spans="2:2" hidden="1" x14ac:dyDescent="0.3">
      <c r="B240" s="148"/>
    </row>
    <row r="241" spans="2:2" hidden="1" x14ac:dyDescent="0.3">
      <c r="B241" s="148"/>
    </row>
    <row r="242" spans="2:2" hidden="1" x14ac:dyDescent="0.3">
      <c r="B242" s="148"/>
    </row>
    <row r="243" spans="2:2" hidden="1" x14ac:dyDescent="0.3">
      <c r="B243" s="148"/>
    </row>
    <row r="244" spans="2:2" hidden="1" x14ac:dyDescent="0.3">
      <c r="B244" s="148"/>
    </row>
    <row r="245" spans="2:2" hidden="1" x14ac:dyDescent="0.3">
      <c r="B245" s="148"/>
    </row>
    <row r="246" spans="2:2" hidden="1" x14ac:dyDescent="0.3">
      <c r="B246" s="148"/>
    </row>
    <row r="247" spans="2:2" hidden="1" x14ac:dyDescent="0.3">
      <c r="B247" s="148"/>
    </row>
    <row r="248" spans="2:2" hidden="1" x14ac:dyDescent="0.3">
      <c r="B248" s="148"/>
    </row>
    <row r="249" spans="2:2" hidden="1" x14ac:dyDescent="0.3">
      <c r="B249" s="148"/>
    </row>
    <row r="250" spans="2:2" hidden="1" x14ac:dyDescent="0.3">
      <c r="B250" s="148"/>
    </row>
    <row r="251" spans="2:2" hidden="1" x14ac:dyDescent="0.3">
      <c r="B251" s="148"/>
    </row>
    <row r="252" spans="2:2" hidden="1" x14ac:dyDescent="0.3">
      <c r="B252" s="148"/>
    </row>
    <row r="253" spans="2:2" hidden="1" x14ac:dyDescent="0.3">
      <c r="B253" s="148"/>
    </row>
    <row r="254" spans="2:2" hidden="1" x14ac:dyDescent="0.3">
      <c r="B254" s="148"/>
    </row>
    <row r="255" spans="2:2" hidden="1" x14ac:dyDescent="0.3">
      <c r="B255" s="148"/>
    </row>
    <row r="256" spans="2:2" hidden="1" x14ac:dyDescent="0.3">
      <c r="B256" s="148"/>
    </row>
    <row r="257" spans="2:2" hidden="1" x14ac:dyDescent="0.3">
      <c r="B257" s="148"/>
    </row>
    <row r="258" spans="2:2" hidden="1" x14ac:dyDescent="0.3">
      <c r="B258" s="148"/>
    </row>
    <row r="259" spans="2:2" hidden="1" x14ac:dyDescent="0.3">
      <c r="B259" s="148"/>
    </row>
    <row r="260" spans="2:2" hidden="1" x14ac:dyDescent="0.3">
      <c r="B260" s="148"/>
    </row>
    <row r="261" spans="2:2" hidden="1" x14ac:dyDescent="0.3">
      <c r="B261" s="148"/>
    </row>
    <row r="262" spans="2:2" hidden="1" x14ac:dyDescent="0.3">
      <c r="B262" s="148"/>
    </row>
    <row r="263" spans="2:2" hidden="1" x14ac:dyDescent="0.3">
      <c r="B263" s="148"/>
    </row>
    <row r="264" spans="2:2" hidden="1" x14ac:dyDescent="0.3">
      <c r="B264" s="148"/>
    </row>
    <row r="265" spans="2:2" hidden="1" x14ac:dyDescent="0.3">
      <c r="B265" s="148"/>
    </row>
    <row r="266" spans="2:2" hidden="1" x14ac:dyDescent="0.3">
      <c r="B266" s="148"/>
    </row>
    <row r="267" spans="2:2" hidden="1" x14ac:dyDescent="0.3">
      <c r="B267" s="148"/>
    </row>
    <row r="268" spans="2:2" hidden="1" x14ac:dyDescent="0.3">
      <c r="B268" s="148"/>
    </row>
    <row r="269" spans="2:2" hidden="1" x14ac:dyDescent="0.3">
      <c r="B269" s="148"/>
    </row>
    <row r="270" spans="2:2" hidden="1" x14ac:dyDescent="0.3">
      <c r="B270" s="148"/>
    </row>
    <row r="271" spans="2:2" hidden="1" x14ac:dyDescent="0.3">
      <c r="B271" s="148"/>
    </row>
    <row r="272" spans="2:2" hidden="1" x14ac:dyDescent="0.3">
      <c r="B272" s="148"/>
    </row>
    <row r="273" spans="2:2" hidden="1" x14ac:dyDescent="0.3">
      <c r="B273" s="148"/>
    </row>
    <row r="274" spans="2:2" hidden="1" x14ac:dyDescent="0.3">
      <c r="B274" s="148"/>
    </row>
    <row r="275" spans="2:2" hidden="1" x14ac:dyDescent="0.3">
      <c r="B275" s="148"/>
    </row>
    <row r="276" spans="2:2" hidden="1" x14ac:dyDescent="0.3">
      <c r="B276" s="148"/>
    </row>
    <row r="277" spans="2:2" hidden="1" x14ac:dyDescent="0.3">
      <c r="B277" s="148"/>
    </row>
    <row r="278" spans="2:2" hidden="1" x14ac:dyDescent="0.3">
      <c r="B278" s="148"/>
    </row>
    <row r="279" spans="2:2" hidden="1" x14ac:dyDescent="0.3">
      <c r="B279" s="148"/>
    </row>
    <row r="280" spans="2:2" hidden="1" x14ac:dyDescent="0.3">
      <c r="B280" s="148"/>
    </row>
    <row r="281" spans="2:2" hidden="1" x14ac:dyDescent="0.3">
      <c r="B281" s="148"/>
    </row>
    <row r="282" spans="2:2" hidden="1" x14ac:dyDescent="0.3">
      <c r="B282" s="148"/>
    </row>
    <row r="283" spans="2:2" hidden="1" x14ac:dyDescent="0.3">
      <c r="B283" s="148"/>
    </row>
    <row r="284" spans="2:2" hidden="1" x14ac:dyDescent="0.3">
      <c r="B284" s="148"/>
    </row>
    <row r="285" spans="2:2" hidden="1" x14ac:dyDescent="0.3">
      <c r="B285" s="148"/>
    </row>
    <row r="286" spans="2:2" hidden="1" x14ac:dyDescent="0.3">
      <c r="B286" s="148"/>
    </row>
    <row r="287" spans="2:2" hidden="1" x14ac:dyDescent="0.3">
      <c r="B287" s="148"/>
    </row>
    <row r="288" spans="2:2" hidden="1" x14ac:dyDescent="0.3">
      <c r="B288" s="148"/>
    </row>
    <row r="289" spans="2:2" hidden="1" x14ac:dyDescent="0.3">
      <c r="B289" s="148"/>
    </row>
    <row r="290" spans="2:2" hidden="1" x14ac:dyDescent="0.3">
      <c r="B290" s="148"/>
    </row>
    <row r="291" spans="2:2" hidden="1" x14ac:dyDescent="0.3">
      <c r="B291" s="148"/>
    </row>
    <row r="292" spans="2:2" hidden="1" x14ac:dyDescent="0.3">
      <c r="B292" s="148"/>
    </row>
    <row r="293" spans="2:2" hidden="1" x14ac:dyDescent="0.3">
      <c r="B293" s="148"/>
    </row>
    <row r="294" spans="2:2" hidden="1" x14ac:dyDescent="0.3">
      <c r="B294" s="148"/>
    </row>
    <row r="295" spans="2:2" hidden="1" x14ac:dyDescent="0.3">
      <c r="B295" s="148"/>
    </row>
    <row r="296" spans="2:2" hidden="1" x14ac:dyDescent="0.3">
      <c r="B296" s="148"/>
    </row>
    <row r="297" spans="2:2" hidden="1" x14ac:dyDescent="0.3">
      <c r="B297" s="148"/>
    </row>
    <row r="298" spans="2:2" hidden="1" x14ac:dyDescent="0.3">
      <c r="B298" s="148"/>
    </row>
    <row r="299" spans="2:2" hidden="1" x14ac:dyDescent="0.3">
      <c r="B299" s="148"/>
    </row>
    <row r="300" spans="2:2" hidden="1" x14ac:dyDescent="0.3">
      <c r="B300" s="148"/>
    </row>
    <row r="301" spans="2:2" hidden="1" x14ac:dyDescent="0.3">
      <c r="B301" s="148"/>
    </row>
    <row r="302" spans="2:2" hidden="1" x14ac:dyDescent="0.3">
      <c r="B302" s="148"/>
    </row>
    <row r="303" spans="2:2" hidden="1" x14ac:dyDescent="0.3">
      <c r="B303" s="148"/>
    </row>
    <row r="304" spans="2:2" hidden="1" x14ac:dyDescent="0.3">
      <c r="B304" s="148"/>
    </row>
    <row r="305" spans="2:2" hidden="1" x14ac:dyDescent="0.3">
      <c r="B305" s="148"/>
    </row>
    <row r="306" spans="2:2" hidden="1" x14ac:dyDescent="0.3">
      <c r="B306" s="148"/>
    </row>
    <row r="307" spans="2:2" hidden="1" x14ac:dyDescent="0.3">
      <c r="B307" s="148"/>
    </row>
    <row r="308" spans="2:2" hidden="1" x14ac:dyDescent="0.3">
      <c r="B308" s="148"/>
    </row>
    <row r="309" spans="2:2" hidden="1" x14ac:dyDescent="0.3">
      <c r="B309" s="148"/>
    </row>
    <row r="310" spans="2:2" hidden="1" x14ac:dyDescent="0.3">
      <c r="B310" s="148"/>
    </row>
    <row r="311" spans="2:2" hidden="1" x14ac:dyDescent="0.3">
      <c r="B311" s="148"/>
    </row>
    <row r="312" spans="2:2" hidden="1" x14ac:dyDescent="0.3">
      <c r="B312" s="148"/>
    </row>
    <row r="313" spans="2:2" hidden="1" x14ac:dyDescent="0.3">
      <c r="B313" s="148"/>
    </row>
    <row r="314" spans="2:2" hidden="1" x14ac:dyDescent="0.3">
      <c r="B314" s="148"/>
    </row>
    <row r="315" spans="2:2" hidden="1" x14ac:dyDescent="0.3">
      <c r="B315" s="148"/>
    </row>
    <row r="316" spans="2:2" hidden="1" x14ac:dyDescent="0.3">
      <c r="B316" s="148"/>
    </row>
    <row r="317" spans="2:2" hidden="1" x14ac:dyDescent="0.3">
      <c r="B317" s="148"/>
    </row>
    <row r="318" spans="2:2" hidden="1" x14ac:dyDescent="0.3">
      <c r="B318" s="148"/>
    </row>
    <row r="319" spans="2:2" hidden="1" x14ac:dyDescent="0.3">
      <c r="B319" s="148"/>
    </row>
    <row r="320" spans="2:2" hidden="1" x14ac:dyDescent="0.3">
      <c r="B320" s="148"/>
    </row>
    <row r="321" spans="2:2" hidden="1" x14ac:dyDescent="0.3">
      <c r="B321" s="148"/>
    </row>
    <row r="322" spans="2:2" hidden="1" x14ac:dyDescent="0.3">
      <c r="B322" s="148"/>
    </row>
    <row r="323" spans="2:2" hidden="1" x14ac:dyDescent="0.3">
      <c r="B323" s="148"/>
    </row>
    <row r="324" spans="2:2" hidden="1" x14ac:dyDescent="0.3">
      <c r="B324" s="148"/>
    </row>
    <row r="325" spans="2:2" hidden="1" x14ac:dyDescent="0.3">
      <c r="B325" s="148"/>
    </row>
    <row r="326" spans="2:2" hidden="1" x14ac:dyDescent="0.3">
      <c r="B326" s="148"/>
    </row>
    <row r="327" spans="2:2" hidden="1" x14ac:dyDescent="0.3">
      <c r="B327" s="148"/>
    </row>
    <row r="328" spans="2:2" hidden="1" x14ac:dyDescent="0.3">
      <c r="B328" s="148"/>
    </row>
    <row r="329" spans="2:2" hidden="1" x14ac:dyDescent="0.3">
      <c r="B329" s="148"/>
    </row>
    <row r="330" spans="2:2" hidden="1" x14ac:dyDescent="0.3">
      <c r="B330" s="148"/>
    </row>
    <row r="331" spans="2:2" hidden="1" x14ac:dyDescent="0.3">
      <c r="B331" s="148"/>
    </row>
    <row r="332" spans="2:2" hidden="1" x14ac:dyDescent="0.3">
      <c r="B332" s="148"/>
    </row>
    <row r="333" spans="2:2" hidden="1" x14ac:dyDescent="0.3">
      <c r="B333" s="148"/>
    </row>
    <row r="334" spans="2:2" hidden="1" x14ac:dyDescent="0.3">
      <c r="B334" s="148"/>
    </row>
    <row r="335" spans="2:2" hidden="1" x14ac:dyDescent="0.3">
      <c r="B335" s="148"/>
    </row>
    <row r="336" spans="2:2" hidden="1" x14ac:dyDescent="0.3">
      <c r="B336" s="148"/>
    </row>
    <row r="337" spans="2:2" hidden="1" x14ac:dyDescent="0.3">
      <c r="B337" s="148"/>
    </row>
    <row r="338" spans="2:2" hidden="1" x14ac:dyDescent="0.3">
      <c r="B338" s="148"/>
    </row>
    <row r="339" spans="2:2" hidden="1" x14ac:dyDescent="0.3">
      <c r="B339" s="148"/>
    </row>
    <row r="340" spans="2:2" hidden="1" x14ac:dyDescent="0.3">
      <c r="B340" s="148"/>
    </row>
    <row r="341" spans="2:2" hidden="1" x14ac:dyDescent="0.3">
      <c r="B341" s="148"/>
    </row>
    <row r="342" spans="2:2" hidden="1" x14ac:dyDescent="0.3">
      <c r="B342" s="148"/>
    </row>
    <row r="343" spans="2:2" hidden="1" x14ac:dyDescent="0.3">
      <c r="B343" s="148"/>
    </row>
    <row r="344" spans="2:2" hidden="1" x14ac:dyDescent="0.3">
      <c r="B344" s="148"/>
    </row>
    <row r="345" spans="2:2" hidden="1" x14ac:dyDescent="0.3">
      <c r="B345" s="148"/>
    </row>
    <row r="346" spans="2:2" hidden="1" x14ac:dyDescent="0.3">
      <c r="B346" s="148"/>
    </row>
    <row r="347" spans="2:2" hidden="1" x14ac:dyDescent="0.3">
      <c r="B347" s="148"/>
    </row>
    <row r="348" spans="2:2" hidden="1" x14ac:dyDescent="0.3">
      <c r="B348" s="148"/>
    </row>
    <row r="349" spans="2:2" hidden="1" x14ac:dyDescent="0.3">
      <c r="B349" s="148"/>
    </row>
    <row r="350" spans="2:2" hidden="1" x14ac:dyDescent="0.3">
      <c r="B350" s="148"/>
    </row>
    <row r="351" spans="2:2" hidden="1" x14ac:dyDescent="0.3">
      <c r="B351" s="148"/>
    </row>
    <row r="352" spans="2:2" hidden="1" x14ac:dyDescent="0.3">
      <c r="B352" s="148"/>
    </row>
    <row r="353" spans="2:2" hidden="1" x14ac:dyDescent="0.3">
      <c r="B353" s="148"/>
    </row>
    <row r="354" spans="2:2" hidden="1" x14ac:dyDescent="0.3">
      <c r="B354" s="148"/>
    </row>
    <row r="355" spans="2:2" hidden="1" x14ac:dyDescent="0.3">
      <c r="B355" s="148"/>
    </row>
    <row r="356" spans="2:2" hidden="1" x14ac:dyDescent="0.3">
      <c r="B356" s="148"/>
    </row>
    <row r="357" spans="2:2" hidden="1" x14ac:dyDescent="0.3">
      <c r="B357" s="148"/>
    </row>
    <row r="358" spans="2:2" hidden="1" x14ac:dyDescent="0.3">
      <c r="B358" s="148"/>
    </row>
    <row r="359" spans="2:2" hidden="1" x14ac:dyDescent="0.3">
      <c r="B359" s="148"/>
    </row>
    <row r="360" spans="2:2" hidden="1" x14ac:dyDescent="0.3">
      <c r="B360" s="148"/>
    </row>
    <row r="361" spans="2:2" hidden="1" x14ac:dyDescent="0.3">
      <c r="B361" s="148"/>
    </row>
    <row r="362" spans="2:2" hidden="1" x14ac:dyDescent="0.3">
      <c r="B362" s="148"/>
    </row>
    <row r="363" spans="2:2" hidden="1" x14ac:dyDescent="0.3">
      <c r="B363" s="148"/>
    </row>
    <row r="364" spans="2:2" hidden="1" x14ac:dyDescent="0.3">
      <c r="B364" s="148"/>
    </row>
    <row r="365" spans="2:2" hidden="1" x14ac:dyDescent="0.3">
      <c r="B365" s="148"/>
    </row>
    <row r="366" spans="2:2" hidden="1" x14ac:dyDescent="0.3">
      <c r="B366" s="148"/>
    </row>
    <row r="367" spans="2:2" hidden="1" x14ac:dyDescent="0.3">
      <c r="B367" s="148"/>
    </row>
    <row r="368" spans="2:2" hidden="1" x14ac:dyDescent="0.3">
      <c r="B368" s="148"/>
    </row>
    <row r="369" spans="2:2" hidden="1" x14ac:dyDescent="0.3">
      <c r="B369" s="148"/>
    </row>
    <row r="370" spans="2:2" hidden="1" x14ac:dyDescent="0.3">
      <c r="B370" s="148"/>
    </row>
    <row r="371" spans="2:2" hidden="1" x14ac:dyDescent="0.3">
      <c r="B371" s="148"/>
    </row>
    <row r="372" spans="2:2" hidden="1" x14ac:dyDescent="0.3">
      <c r="B372" s="148"/>
    </row>
    <row r="373" spans="2:2" hidden="1" x14ac:dyDescent="0.3">
      <c r="B373" s="148"/>
    </row>
    <row r="374" spans="2:2" hidden="1" x14ac:dyDescent="0.3">
      <c r="B374" s="148"/>
    </row>
    <row r="375" spans="2:2" hidden="1" x14ac:dyDescent="0.3">
      <c r="B375" s="148"/>
    </row>
    <row r="376" spans="2:2" hidden="1" x14ac:dyDescent="0.3">
      <c r="B376" s="148"/>
    </row>
    <row r="377" spans="2:2" hidden="1" x14ac:dyDescent="0.3">
      <c r="B377" s="148"/>
    </row>
    <row r="378" spans="2:2" hidden="1" x14ac:dyDescent="0.3">
      <c r="B378" s="148"/>
    </row>
    <row r="379" spans="2:2" hidden="1" x14ac:dyDescent="0.3">
      <c r="B379" s="148"/>
    </row>
    <row r="380" spans="2:2" hidden="1" x14ac:dyDescent="0.3">
      <c r="B380" s="148"/>
    </row>
    <row r="381" spans="2:2" hidden="1" x14ac:dyDescent="0.3">
      <c r="B381" s="148"/>
    </row>
    <row r="382" spans="2:2" hidden="1" x14ac:dyDescent="0.3">
      <c r="B382" s="148"/>
    </row>
    <row r="383" spans="2:2" hidden="1" x14ac:dyDescent="0.3">
      <c r="B383" s="148"/>
    </row>
    <row r="384" spans="2:2" hidden="1" x14ac:dyDescent="0.3">
      <c r="B384" s="148"/>
    </row>
    <row r="385" spans="2:2" hidden="1" x14ac:dyDescent="0.3">
      <c r="B385" s="148"/>
    </row>
    <row r="386" spans="2:2" hidden="1" x14ac:dyDescent="0.3">
      <c r="B386" s="148"/>
    </row>
    <row r="387" spans="2:2" hidden="1" x14ac:dyDescent="0.3">
      <c r="B387" s="148"/>
    </row>
    <row r="388" spans="2:2" hidden="1" x14ac:dyDescent="0.3">
      <c r="B388" s="148"/>
    </row>
    <row r="389" spans="2:2" hidden="1" x14ac:dyDescent="0.3">
      <c r="B389" s="148"/>
    </row>
    <row r="390" spans="2:2" hidden="1" x14ac:dyDescent="0.3">
      <c r="B390" s="148"/>
    </row>
    <row r="391" spans="2:2" hidden="1" x14ac:dyDescent="0.3">
      <c r="B391" s="148"/>
    </row>
    <row r="392" spans="2:2" hidden="1" x14ac:dyDescent="0.3">
      <c r="B392" s="148"/>
    </row>
    <row r="393" spans="2:2" hidden="1" x14ac:dyDescent="0.3">
      <c r="B393" s="148"/>
    </row>
    <row r="394" spans="2:2" hidden="1" x14ac:dyDescent="0.3">
      <c r="B394" s="148"/>
    </row>
    <row r="395" spans="2:2" hidden="1" x14ac:dyDescent="0.3">
      <c r="B395" s="148"/>
    </row>
    <row r="396" spans="2:2" hidden="1" x14ac:dyDescent="0.3">
      <c r="B396" s="148"/>
    </row>
    <row r="397" spans="2:2" hidden="1" x14ac:dyDescent="0.3">
      <c r="B397" s="148"/>
    </row>
    <row r="398" spans="2:2" hidden="1" x14ac:dyDescent="0.3">
      <c r="B398" s="148"/>
    </row>
    <row r="399" spans="2:2" hidden="1" x14ac:dyDescent="0.3">
      <c r="B399" s="148"/>
    </row>
    <row r="400" spans="2:2" hidden="1" x14ac:dyDescent="0.3">
      <c r="B400" s="148"/>
    </row>
    <row r="401" spans="2:2" hidden="1" x14ac:dyDescent="0.3">
      <c r="B401" s="148"/>
    </row>
    <row r="402" spans="2:2" hidden="1" x14ac:dyDescent="0.3">
      <c r="B402" s="148"/>
    </row>
    <row r="403" spans="2:2" hidden="1" x14ac:dyDescent="0.3">
      <c r="B403" s="148"/>
    </row>
    <row r="404" spans="2:2" hidden="1" x14ac:dyDescent="0.3">
      <c r="B404" s="148"/>
    </row>
    <row r="405" spans="2:2" hidden="1" x14ac:dyDescent="0.3">
      <c r="B405" s="148"/>
    </row>
    <row r="406" spans="2:2" hidden="1" x14ac:dyDescent="0.3">
      <c r="B406" s="148"/>
    </row>
    <row r="407" spans="2:2" hidden="1" x14ac:dyDescent="0.3">
      <c r="B407" s="148"/>
    </row>
    <row r="408" spans="2:2" hidden="1" x14ac:dyDescent="0.3">
      <c r="B408" s="148"/>
    </row>
    <row r="409" spans="2:2" hidden="1" x14ac:dyDescent="0.3">
      <c r="B409" s="148"/>
    </row>
    <row r="410" spans="2:2" hidden="1" x14ac:dyDescent="0.3">
      <c r="B410" s="148"/>
    </row>
    <row r="411" spans="2:2" hidden="1" x14ac:dyDescent="0.3">
      <c r="B411" s="148"/>
    </row>
    <row r="412" spans="2:2" hidden="1" x14ac:dyDescent="0.3">
      <c r="B412" s="148"/>
    </row>
    <row r="413" spans="2:2" hidden="1" x14ac:dyDescent="0.3">
      <c r="B413" s="148"/>
    </row>
    <row r="414" spans="2:2" hidden="1" x14ac:dyDescent="0.3">
      <c r="B414" s="148"/>
    </row>
    <row r="415" spans="2:2" hidden="1" x14ac:dyDescent="0.3">
      <c r="B415" s="148"/>
    </row>
    <row r="416" spans="2:2" hidden="1" x14ac:dyDescent="0.3">
      <c r="B416" s="148"/>
    </row>
    <row r="417" spans="2:2" hidden="1" x14ac:dyDescent="0.3">
      <c r="B417" s="148"/>
    </row>
    <row r="418" spans="2:2" hidden="1" x14ac:dyDescent="0.3">
      <c r="B418" s="148"/>
    </row>
    <row r="419" spans="2:2" hidden="1" x14ac:dyDescent="0.3">
      <c r="B419" s="148"/>
    </row>
    <row r="420" spans="2:2" hidden="1" x14ac:dyDescent="0.3">
      <c r="B420" s="148"/>
    </row>
    <row r="421" spans="2:2" hidden="1" x14ac:dyDescent="0.3">
      <c r="B421" s="148"/>
    </row>
    <row r="422" spans="2:2" hidden="1" x14ac:dyDescent="0.3">
      <c r="B422" s="148"/>
    </row>
    <row r="423" spans="2:2" hidden="1" x14ac:dyDescent="0.3">
      <c r="B423" s="148"/>
    </row>
    <row r="424" spans="2:2" hidden="1" x14ac:dyDescent="0.3">
      <c r="B424" s="148"/>
    </row>
    <row r="425" spans="2:2" hidden="1" x14ac:dyDescent="0.3">
      <c r="B425" s="148"/>
    </row>
    <row r="426" spans="2:2" hidden="1" x14ac:dyDescent="0.3">
      <c r="B426" s="148"/>
    </row>
    <row r="427" spans="2:2" hidden="1" x14ac:dyDescent="0.3">
      <c r="B427" s="148"/>
    </row>
    <row r="428" spans="2:2" hidden="1" x14ac:dyDescent="0.3">
      <c r="B428" s="148"/>
    </row>
    <row r="429" spans="2:2" hidden="1" x14ac:dyDescent="0.3">
      <c r="B429" s="148"/>
    </row>
    <row r="430" spans="2:2" hidden="1" x14ac:dyDescent="0.3">
      <c r="B430" s="148"/>
    </row>
    <row r="431" spans="2:2" hidden="1" x14ac:dyDescent="0.3">
      <c r="B431" s="148"/>
    </row>
    <row r="432" spans="2:2" hidden="1" x14ac:dyDescent="0.3">
      <c r="B432" s="148"/>
    </row>
    <row r="433" spans="2:2" hidden="1" x14ac:dyDescent="0.3">
      <c r="B433" s="148"/>
    </row>
    <row r="434" spans="2:2" hidden="1" x14ac:dyDescent="0.3">
      <c r="B434" s="148"/>
    </row>
    <row r="435" spans="2:2" hidden="1" x14ac:dyDescent="0.3">
      <c r="B435" s="148"/>
    </row>
    <row r="436" spans="2:2" hidden="1" x14ac:dyDescent="0.3">
      <c r="B436" s="148"/>
    </row>
    <row r="437" spans="2:2" hidden="1" x14ac:dyDescent="0.3">
      <c r="B437" s="148"/>
    </row>
    <row r="438" spans="2:2" hidden="1" x14ac:dyDescent="0.3">
      <c r="B438" s="148"/>
    </row>
    <row r="439" spans="2:2" hidden="1" x14ac:dyDescent="0.3">
      <c r="B439" s="148"/>
    </row>
    <row r="440" spans="2:2" hidden="1" x14ac:dyDescent="0.3">
      <c r="B440" s="148"/>
    </row>
    <row r="441" spans="2:2" hidden="1" x14ac:dyDescent="0.3">
      <c r="B441" s="148"/>
    </row>
    <row r="442" spans="2:2" hidden="1" x14ac:dyDescent="0.3">
      <c r="B442" s="148"/>
    </row>
    <row r="443" spans="2:2" hidden="1" x14ac:dyDescent="0.3">
      <c r="B443" s="148"/>
    </row>
    <row r="444" spans="2:2" hidden="1" x14ac:dyDescent="0.3">
      <c r="B444" s="148"/>
    </row>
    <row r="445" spans="2:2" hidden="1" x14ac:dyDescent="0.3">
      <c r="B445" s="148"/>
    </row>
    <row r="446" spans="2:2" hidden="1" x14ac:dyDescent="0.3">
      <c r="B446" s="148"/>
    </row>
    <row r="447" spans="2:2" hidden="1" x14ac:dyDescent="0.3">
      <c r="B447" s="148"/>
    </row>
    <row r="448" spans="2:2" hidden="1" x14ac:dyDescent="0.3">
      <c r="B448" s="148"/>
    </row>
    <row r="449" spans="2:2" hidden="1" x14ac:dyDescent="0.3">
      <c r="B449" s="148"/>
    </row>
    <row r="450" spans="2:2" hidden="1" x14ac:dyDescent="0.3">
      <c r="B450" s="148"/>
    </row>
    <row r="451" spans="2:2" hidden="1" x14ac:dyDescent="0.3">
      <c r="B451" s="148"/>
    </row>
    <row r="452" spans="2:2" hidden="1" x14ac:dyDescent="0.3">
      <c r="B452" s="148"/>
    </row>
    <row r="453" spans="2:2" hidden="1" x14ac:dyDescent="0.3">
      <c r="B453" s="148"/>
    </row>
    <row r="454" spans="2:2" hidden="1" x14ac:dyDescent="0.3">
      <c r="B454" s="148"/>
    </row>
    <row r="455" spans="2:2" hidden="1" x14ac:dyDescent="0.3">
      <c r="B455" s="148"/>
    </row>
    <row r="456" spans="2:2" hidden="1" x14ac:dyDescent="0.3">
      <c r="B456" s="148"/>
    </row>
    <row r="457" spans="2:2" hidden="1" x14ac:dyDescent="0.3">
      <c r="B457" s="148"/>
    </row>
    <row r="458" spans="2:2" hidden="1" x14ac:dyDescent="0.3">
      <c r="B458" s="148"/>
    </row>
    <row r="459" spans="2:2" hidden="1" x14ac:dyDescent="0.3">
      <c r="B459" s="148"/>
    </row>
    <row r="460" spans="2:2" hidden="1" x14ac:dyDescent="0.3">
      <c r="B460" s="148"/>
    </row>
    <row r="461" spans="2:2" hidden="1" x14ac:dyDescent="0.3">
      <c r="B461" s="148"/>
    </row>
    <row r="462" spans="2:2" hidden="1" x14ac:dyDescent="0.3">
      <c r="B462" s="148"/>
    </row>
    <row r="463" spans="2:2" hidden="1" x14ac:dyDescent="0.3">
      <c r="B463" s="148"/>
    </row>
    <row r="464" spans="2:2" hidden="1" x14ac:dyDescent="0.3">
      <c r="B464" s="148"/>
    </row>
    <row r="465" spans="2:2" hidden="1" x14ac:dyDescent="0.3">
      <c r="B465" s="148"/>
    </row>
    <row r="466" spans="2:2" hidden="1" x14ac:dyDescent="0.3">
      <c r="B466" s="148"/>
    </row>
    <row r="467" spans="2:2" hidden="1" x14ac:dyDescent="0.3">
      <c r="B467" s="148"/>
    </row>
    <row r="468" spans="2:2" hidden="1" x14ac:dyDescent="0.3">
      <c r="B468" s="148"/>
    </row>
    <row r="469" spans="2:2" hidden="1" x14ac:dyDescent="0.3">
      <c r="B469" s="148"/>
    </row>
    <row r="470" spans="2:2" hidden="1" x14ac:dyDescent="0.3">
      <c r="B470" s="148"/>
    </row>
    <row r="471" spans="2:2" hidden="1" x14ac:dyDescent="0.3">
      <c r="B471" s="148"/>
    </row>
    <row r="472" spans="2:2" hidden="1" x14ac:dyDescent="0.3">
      <c r="B472" s="148"/>
    </row>
    <row r="473" spans="2:2" hidden="1" x14ac:dyDescent="0.3">
      <c r="B473" s="148"/>
    </row>
    <row r="474" spans="2:2" hidden="1" x14ac:dyDescent="0.3">
      <c r="B474" s="148"/>
    </row>
    <row r="475" spans="2:2" hidden="1" x14ac:dyDescent="0.3">
      <c r="B475" s="148"/>
    </row>
    <row r="476" spans="2:2" hidden="1" x14ac:dyDescent="0.3">
      <c r="B476" s="148"/>
    </row>
    <row r="477" spans="2:2" hidden="1" x14ac:dyDescent="0.3">
      <c r="B477" s="148"/>
    </row>
    <row r="478" spans="2:2" hidden="1" x14ac:dyDescent="0.3">
      <c r="B478" s="148"/>
    </row>
    <row r="479" spans="2:2" hidden="1" x14ac:dyDescent="0.3">
      <c r="B479" s="148"/>
    </row>
    <row r="480" spans="2:2" hidden="1" x14ac:dyDescent="0.3">
      <c r="B480" s="148"/>
    </row>
    <row r="481" spans="2:2" hidden="1" x14ac:dyDescent="0.3">
      <c r="B481" s="148"/>
    </row>
    <row r="482" spans="2:2" hidden="1" x14ac:dyDescent="0.3">
      <c r="B482" s="148"/>
    </row>
    <row r="483" spans="2:2" hidden="1" x14ac:dyDescent="0.3">
      <c r="B483" s="148"/>
    </row>
    <row r="484" spans="2:2" hidden="1" x14ac:dyDescent="0.3">
      <c r="B484" s="148"/>
    </row>
    <row r="485" spans="2:2" hidden="1" x14ac:dyDescent="0.3">
      <c r="B485" s="148"/>
    </row>
    <row r="486" spans="2:2" hidden="1" x14ac:dyDescent="0.3">
      <c r="B486" s="148"/>
    </row>
    <row r="487" spans="2:2" hidden="1" x14ac:dyDescent="0.3">
      <c r="B487" s="148"/>
    </row>
    <row r="488" spans="2:2" hidden="1" x14ac:dyDescent="0.3">
      <c r="B488" s="148"/>
    </row>
    <row r="489" spans="2:2" hidden="1" x14ac:dyDescent="0.3">
      <c r="B489" s="148"/>
    </row>
    <row r="490" spans="2:2" hidden="1" x14ac:dyDescent="0.3">
      <c r="B490" s="148"/>
    </row>
    <row r="491" spans="2:2" hidden="1" x14ac:dyDescent="0.3">
      <c r="B491" s="148"/>
    </row>
    <row r="492" spans="2:2" hidden="1" x14ac:dyDescent="0.3">
      <c r="B492" s="148"/>
    </row>
    <row r="493" spans="2:2" hidden="1" x14ac:dyDescent="0.3">
      <c r="B493" s="148"/>
    </row>
    <row r="494" spans="2:2" hidden="1" x14ac:dyDescent="0.3">
      <c r="B494" s="148"/>
    </row>
    <row r="495" spans="2:2" hidden="1" x14ac:dyDescent="0.3">
      <c r="B495" s="148"/>
    </row>
    <row r="496" spans="2:2" hidden="1" x14ac:dyDescent="0.3">
      <c r="B496" s="148"/>
    </row>
    <row r="497" spans="2:2" hidden="1" x14ac:dyDescent="0.3">
      <c r="B497" s="148"/>
    </row>
    <row r="498" spans="2:2" hidden="1" x14ac:dyDescent="0.3">
      <c r="B498" s="148"/>
    </row>
    <row r="499" spans="2:2" hidden="1" x14ac:dyDescent="0.3">
      <c r="B499" s="148"/>
    </row>
    <row r="500" spans="2:2" hidden="1" x14ac:dyDescent="0.3">
      <c r="B500" s="148"/>
    </row>
    <row r="501" spans="2:2" hidden="1" x14ac:dyDescent="0.3">
      <c r="B501" s="148"/>
    </row>
    <row r="502" spans="2:2" hidden="1" x14ac:dyDescent="0.3">
      <c r="B502" s="148"/>
    </row>
    <row r="503" spans="2:2" hidden="1" x14ac:dyDescent="0.3">
      <c r="B503" s="148"/>
    </row>
    <row r="504" spans="2:2" hidden="1" x14ac:dyDescent="0.3">
      <c r="B504" s="148"/>
    </row>
    <row r="505" spans="2:2" hidden="1" x14ac:dyDescent="0.3">
      <c r="B505" s="148"/>
    </row>
    <row r="506" spans="2:2" hidden="1" x14ac:dyDescent="0.3">
      <c r="B506" s="148"/>
    </row>
    <row r="507" spans="2:2" hidden="1" x14ac:dyDescent="0.3">
      <c r="B507" s="148"/>
    </row>
    <row r="508" spans="2:2" hidden="1" x14ac:dyDescent="0.3">
      <c r="B508" s="148"/>
    </row>
    <row r="509" spans="2:2" hidden="1" x14ac:dyDescent="0.3">
      <c r="B509" s="148"/>
    </row>
    <row r="510" spans="2:2" hidden="1" x14ac:dyDescent="0.3">
      <c r="B510" s="148"/>
    </row>
    <row r="511" spans="2:2" hidden="1" x14ac:dyDescent="0.3">
      <c r="B511" s="148"/>
    </row>
    <row r="512" spans="2:2" hidden="1" x14ac:dyDescent="0.3">
      <c r="B512" s="148"/>
    </row>
    <row r="513" spans="2:2" hidden="1" x14ac:dyDescent="0.3">
      <c r="B513" s="148"/>
    </row>
    <row r="514" spans="2:2" hidden="1" x14ac:dyDescent="0.3">
      <c r="B514" s="148"/>
    </row>
    <row r="515" spans="2:2" hidden="1" x14ac:dyDescent="0.3">
      <c r="B515" s="148"/>
    </row>
  </sheetData>
  <mergeCells count="6">
    <mergeCell ref="A3:B3"/>
    <mergeCell ref="A2:B2"/>
    <mergeCell ref="A1:B1"/>
    <mergeCell ref="C1:H1"/>
    <mergeCell ref="C2:H2"/>
    <mergeCell ref="C3:H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Sample</vt:lpstr>
      <vt:lpstr>raw</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GarG BroThers</dc:creator>
  <cp:lastModifiedBy>GarG BroThers</cp:lastModifiedBy>
  <dcterms:created xsi:type="dcterms:W3CDTF">2015-06-05T18:17:20Z</dcterms:created>
  <dcterms:modified xsi:type="dcterms:W3CDTF">2026-08-28T21:42:36Z</dcterms:modified>
</cp:coreProperties>
</file>