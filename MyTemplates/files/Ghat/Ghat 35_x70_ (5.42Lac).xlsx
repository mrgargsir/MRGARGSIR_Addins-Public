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itg\AppData\Local\MRGARGSIRTools\MyTemplates\"/>
    </mc:Choice>
  </mc:AlternateContent>
  <xr:revisionPtr revIDLastSave="0" documentId="8_{3BC11A88-5D18-419F-8CA6-77464EED3150}" xr6:coauthVersionLast="47" xr6:coauthVersionMax="47" xr10:uidLastSave="{00000000-0000-0000-0000-000000000000}"/>
  <bookViews>
    <workbookView xWindow="-120" yWindow="-120" windowWidth="29040" windowHeight="15840" xr2:uid="{6D3460CA-E795-4D7F-BD04-13B3D25BE88A}"/>
  </bookViews>
  <sheets>
    <sheet name="Ghat 35x70  " sheetId="2" r:id="rId1"/>
  </sheets>
  <definedNames>
    <definedName name="_xlnm.Print_Area" localSheetId="0">'Ghat 35x70  '!$A$1:$L$64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64" i="2" l="1"/>
  <c r="K63" i="2"/>
  <c r="H62" i="2"/>
  <c r="H63" i="2" s="1"/>
  <c r="H64" i="2" s="1"/>
  <c r="L64" i="2" s="1"/>
  <c r="K60" i="2"/>
  <c r="K59" i="2"/>
  <c r="H58" i="2"/>
  <c r="H59" i="2" s="1"/>
  <c r="H60" i="2" s="1"/>
  <c r="L60" i="2" s="1"/>
  <c r="K55" i="2"/>
  <c r="K54" i="2"/>
  <c r="H54" i="2"/>
  <c r="H55" i="2" s="1"/>
  <c r="L55" i="2" s="1"/>
  <c r="H53" i="2"/>
  <c r="K50" i="2"/>
  <c r="K49" i="2"/>
  <c r="H48" i="2"/>
  <c r="H49" i="2" s="1"/>
  <c r="H50" i="2" s="1"/>
  <c r="L50" i="2" s="1"/>
  <c r="H47" i="2"/>
  <c r="K44" i="2"/>
  <c r="K43" i="2"/>
  <c r="H42" i="2"/>
  <c r="H43" i="2" s="1"/>
  <c r="H44" i="2" s="1"/>
  <c r="L44" i="2" s="1"/>
  <c r="H41" i="2"/>
  <c r="K38" i="2"/>
  <c r="K37" i="2"/>
  <c r="H36" i="2"/>
  <c r="H37" i="2" s="1"/>
  <c r="H38" i="2" s="1"/>
  <c r="L38" i="2" s="1"/>
  <c r="H35" i="2"/>
  <c r="K32" i="2"/>
  <c r="K31" i="2"/>
  <c r="H30" i="2"/>
  <c r="H31" i="2" s="1"/>
  <c r="H32" i="2" s="1"/>
  <c r="L32" i="2" s="1"/>
  <c r="K27" i="2"/>
  <c r="K26" i="2"/>
  <c r="E23" i="2"/>
  <c r="E24" i="2" s="1"/>
  <c r="H22" i="2"/>
  <c r="G21" i="2"/>
  <c r="E19" i="2"/>
  <c r="E20" i="2" s="1"/>
  <c r="E18" i="2"/>
  <c r="H18" i="2" s="1"/>
  <c r="K15" i="2"/>
  <c r="K14" i="2"/>
  <c r="H14" i="2"/>
  <c r="H15" i="2" s="1"/>
  <c r="L15" i="2" s="1"/>
  <c r="H13" i="2"/>
  <c r="H12" i="2"/>
  <c r="E12" i="2"/>
  <c r="A11" i="2"/>
  <c r="A17" i="2" s="1"/>
  <c r="A29" i="2" s="1"/>
  <c r="K9" i="2"/>
  <c r="K8" i="2"/>
  <c r="H7" i="2"/>
  <c r="E6" i="2"/>
  <c r="H6" i="2" s="1"/>
  <c r="H8" i="2" s="1"/>
  <c r="H9" i="2" s="1"/>
  <c r="L9" i="2" s="1"/>
  <c r="A5" i="2"/>
  <c r="A34" i="2" l="1"/>
  <c r="A40" i="2"/>
  <c r="H20" i="2"/>
  <c r="E21" i="2"/>
  <c r="H21" i="2" s="1"/>
  <c r="H24" i="2"/>
  <c r="E25" i="2"/>
  <c r="H25" i="2" s="1"/>
  <c r="H19" i="2"/>
  <c r="H26" i="2" s="1"/>
  <c r="H27" i="2" s="1"/>
  <c r="L27" i="2" s="1"/>
  <c r="L66" i="2" s="1"/>
  <c r="H23" i="2"/>
  <c r="L67" i="2" l="1"/>
  <c r="L68" i="2"/>
  <c r="A46" i="2"/>
  <c r="A52" i="2" l="1"/>
  <c r="A57" i="2" s="1"/>
  <c r="L69" i="2"/>
  <c r="L70" i="2" s="1"/>
  <c r="J72" i="2" s="1"/>
</calcChain>
</file>

<file path=xl/sharedStrings.xml><?xml version="1.0" encoding="utf-8"?>
<sst xmlns="http://schemas.openxmlformats.org/spreadsheetml/2006/main" count="117" uniqueCount="54">
  <si>
    <t>Analysis of Cow Ghat size 35'*70'</t>
  </si>
  <si>
    <t>Sr No</t>
  </si>
  <si>
    <t>HSR
Item No</t>
  </si>
  <si>
    <t>Description</t>
  </si>
  <si>
    <t>Nos</t>
  </si>
  <si>
    <t>Length</t>
  </si>
  <si>
    <t>Breadth</t>
  </si>
  <si>
    <t>Depth</t>
  </si>
  <si>
    <t>Quantity</t>
  </si>
  <si>
    <t>Unit</t>
  </si>
  <si>
    <t>Rate Type</t>
  </si>
  <si>
    <t>Rate</t>
  </si>
  <si>
    <t>Amount</t>
  </si>
  <si>
    <t>4.14.1</t>
  </si>
  <si>
    <r>
      <t xml:space="preserve">4.14: Earth Work and Rock Cutting Earth work in excavation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 as directed, within a lead of 50 m.
</t>
    </r>
    <r>
      <rPr>
        <b/>
        <i/>
        <sz val="9"/>
        <color rgb="FF8B0000"/>
        <rFont val="Times New Roman"/>
        <family val="1"/>
      </rPr>
      <t xml:space="preserve">4.14.1: All kinds of soil.
</t>
    </r>
  </si>
  <si>
    <t>Side wall</t>
  </si>
  <si>
    <t>cft</t>
  </si>
  <si>
    <t>Toe wall</t>
  </si>
  <si>
    <t>Total (cft)</t>
  </si>
  <si>
    <t>Total (cum)</t>
  </si>
  <si>
    <t>cum</t>
  </si>
  <si>
    <t>Through Rate</t>
  </si>
  <si>
    <t>6.1.7</t>
  </si>
  <si>
    <r>
      <t xml:space="preserve">6.1: Concrete and RCC Work A CEMENT CONCRETE (CAST IN SITU) Providing and laying in position cement concrete of specified grade excluding the cost of centering and shuttering - All work below plinth level and up to Floor IV level:
</t>
    </r>
    <r>
      <rPr>
        <b/>
        <i/>
        <sz val="9"/>
        <color rgb="FF8B0000"/>
        <rFont val="Times New Roman"/>
        <family val="1"/>
      </rPr>
      <t xml:space="preserve">6.1.7: 1:5:10 (1 cement : 5 coarse sand (zone-III): 10 graded stone aggregate 40 mm nominal size)
</t>
    </r>
  </si>
  <si>
    <t>7.21.2</t>
  </si>
  <si>
    <r>
      <t xml:space="preserve">7.21: Brick work with common burnt clay non- modular bricks of class designation 10.5 in foundation and plinth in:
</t>
    </r>
    <r>
      <rPr>
        <b/>
        <i/>
        <sz val="9"/>
        <color rgb="FF8B0000"/>
        <rFont val="Times New Roman"/>
        <family val="1"/>
      </rPr>
      <t xml:space="preserve">7.21.2: Cement mortar 1:6 (1 cement : 6 coarse sand)
</t>
    </r>
  </si>
  <si>
    <t>Through Rate Amnd</t>
  </si>
  <si>
    <t>4.37</t>
  </si>
  <si>
    <t xml:space="preserve">4.37: Earth Work and Rock Cutting Filling with available fly ash and earth (excluding rock) in trenches or embankment in layers (each layer should not exceed 15 cm), with intermediate layer of compacted earth (Soil density of 98%) after every four layers of compacted depth of fly ash, sides and top layer of filling shall be done with earth having total minimum compacted thickness 30 cm or as decided by Engineer -in-charge, including compacting each layer by rolling/ ramming and watering, all complete as per drawing and direction of Engineer -in - charge.
</t>
  </si>
  <si>
    <t>10.100.2</t>
  </si>
  <si>
    <r>
      <t xml:space="preserve">10.100: Flooring and Dados OTHER MISCELLANEOUS ITEMS USED FOR FLOORING 0 Cement Concrete 1:8:16 Flooring
</t>
    </r>
    <r>
      <rPr>
        <b/>
        <i/>
        <sz val="9"/>
        <color rgb="FF8B0000"/>
        <rFont val="Calibri"/>
        <family val="2"/>
        <scheme val="minor"/>
      </rPr>
      <t xml:space="preserve">10.100.2: Cement Concrete 1:8:16 with stone aggregate 40 mm size in foundation and plinth.
</t>
    </r>
  </si>
  <si>
    <t>toe wall</t>
  </si>
  <si>
    <t>10.33.1</t>
  </si>
  <si>
    <r>
      <t xml:space="preserve">10.33: Flooring and Dados BRICK FLOORING Providing and laying of brick on edge flooring with bricks of class designation 7.5 on a bed of 12 mm cement mortar, including filling the joints with same mortar, with common burnt clay non modular bricks:
</t>
    </r>
    <r>
      <rPr>
        <b/>
        <i/>
        <sz val="9"/>
        <color rgb="FF8B0000"/>
        <rFont val="Times New Roman"/>
        <family val="1"/>
      </rPr>
      <t xml:space="preserve">10.33.1: 1:4 (1 cement : 4 coarse sand)
</t>
    </r>
  </si>
  <si>
    <t>sft</t>
  </si>
  <si>
    <t>Total (sft)</t>
  </si>
  <si>
    <t>Total (sqm)</t>
  </si>
  <si>
    <t>sqm</t>
  </si>
  <si>
    <t>10.7</t>
  </si>
  <si>
    <t xml:space="preserve">10.7: Flooring and Dados CEMENT CONCRETE FLOORING Providing and laying of conglomerate floor 50mm thick cement concrete topping 1:2:4
</t>
  </si>
  <si>
    <t>6.14.1</t>
  </si>
  <si>
    <r>
      <t xml:space="preserve">6.14: Concrete and RCC Work D REINFORCED CEMENT CONCRETE Providing and laying in position specified grade of reinforced cement concrete, excluding the cost of centering, shuttering, finishing and reinforcement - All work up to plinth level :
</t>
    </r>
    <r>
      <rPr>
        <b/>
        <i/>
        <sz val="9"/>
        <color rgb="FF8B0000"/>
        <rFont val="Times New Roman"/>
        <family val="1"/>
      </rPr>
      <t xml:space="preserve">6.14.1: 1:1.5:3 (1 cement : 1.5 coarse sand (zone-III): 3 graded stone aggregate 20 mm nominal size)
</t>
    </r>
  </si>
  <si>
    <t>11.12.2</t>
  </si>
  <si>
    <r>
      <t xml:space="preserve">11.12: Finishing Works CEMENT PLASTER WITH A FLOATING COAT OF NEAT CEMENT 15 mm cement plaster on rough side of single or half brick wall finished with a floating coat of neat cement of mix :
</t>
    </r>
    <r>
      <rPr>
        <b/>
        <i/>
        <sz val="9"/>
        <color rgb="FF8B0000"/>
        <rFont val="Times New Roman"/>
        <family val="1"/>
      </rPr>
      <t xml:space="preserve">11.12.2: 1:4 (1 cement: 4 fine sand)
</t>
    </r>
  </si>
  <si>
    <t>End</t>
  </si>
  <si>
    <t>11.11.2</t>
  </si>
  <si>
    <r>
      <t xml:space="preserve">11.11: Finishing Works CEMENT PLASTER WITH A FLOATING COAT OF NEAT CEMENT 12 mm cement plaster finished with a floating coat of neat cement of mix :
</t>
    </r>
    <r>
      <rPr>
        <b/>
        <i/>
        <sz val="9"/>
        <color rgb="FF8B0000"/>
        <rFont val="Times New Roman"/>
        <family val="1"/>
      </rPr>
      <t xml:space="preserve">11.11.2: 1:4 (1 cement: 4 fine sand)
</t>
    </r>
  </si>
  <si>
    <t>Total</t>
  </si>
  <si>
    <t>Add 18% GST</t>
  </si>
  <si>
    <t>Total Amount</t>
  </si>
  <si>
    <t>Add 1% Contigency</t>
  </si>
  <si>
    <t>GRAND TOTAL</t>
  </si>
  <si>
    <t xml:space="preserve"> .</t>
  </si>
  <si>
    <t xml:space="preserve">Say Rs.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</si>
</sst>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quot;&quot;"/>
    <numFmt numFmtId="166" formatCode="_(* #,##0_);_(* \(#,##0\);_(* &quot;-&quot;??_);_(@_)"/>
  </numFmts>
  <fonts count="23" x14ac:knownFonts="1">
    <font>
      <sz val="11"/>
      <color theme="1"/>
      <name val="Calibri"/>
      <family val="2"/>
      <scheme val="minor"/>
    </font>
    <font>
      <b/>
      <sz val="11"/>
      <color theme="1"/>
      <name val="Calibri"/>
      <family val="2"/>
      <scheme val="minor"/>
    </font>
    <font>
      <b/>
      <sz val="18"/>
      <color indexed="8"/>
      <name val="Times New Roman"/>
      <family val="1"/>
    </font>
    <font>
      <sz val="12"/>
      <color theme="1"/>
      <name val="Times New Roman"/>
      <family val="1"/>
    </font>
    <font>
      <b/>
      <sz val="14"/>
      <name val="Times New Roman"/>
      <family val="1"/>
    </font>
    <font>
      <b/>
      <sz val="12"/>
      <name val="Times New Roman"/>
      <family val="1"/>
    </font>
    <font>
      <sz val="14"/>
      <color theme="1"/>
      <name val="Times New Roman"/>
      <family val="1"/>
    </font>
    <font>
      <b/>
      <sz val="12"/>
      <color indexed="8"/>
      <name val="Times New Roman"/>
      <family val="1"/>
    </font>
    <font>
      <b/>
      <i/>
      <sz val="10"/>
      <color rgb="FF006400"/>
      <name val="Times New Roman"/>
      <family val="1"/>
    </font>
    <font>
      <b/>
      <i/>
      <sz val="9"/>
      <color rgb="FF8B0000"/>
      <name val="Times New Roman"/>
      <family val="1"/>
    </font>
    <font>
      <b/>
      <sz val="12"/>
      <color theme="1"/>
      <name val="Times New Roman"/>
      <family val="1"/>
    </font>
    <font>
      <sz val="12"/>
      <color indexed="8"/>
      <name val="Times New Roman"/>
      <family val="1"/>
    </font>
    <font>
      <b/>
      <i/>
      <sz val="10"/>
      <color rgb="FF006400"/>
      <name val="Calibri"/>
      <family val="2"/>
      <scheme val="minor"/>
    </font>
    <font>
      <b/>
      <i/>
      <sz val="9"/>
      <color rgb="FF8B0000"/>
      <name val="Calibri"/>
      <family val="2"/>
      <scheme val="minor"/>
    </font>
    <font>
      <b/>
      <sz val="14"/>
      <color theme="1"/>
      <name val="Times New Roman"/>
      <family val="1"/>
    </font>
    <font>
      <sz val="12"/>
      <name val="Times New Roman"/>
      <family val="1"/>
    </font>
    <font>
      <b/>
      <sz val="11"/>
      <color rgb="FF000000"/>
      <name val="Times New Roman"/>
      <family val="1"/>
    </font>
    <font>
      <b/>
      <sz val="11"/>
      <color rgb="FF000000"/>
      <name val="Calibri"/>
      <family val="2"/>
      <scheme val="minor"/>
    </font>
    <font>
      <sz val="11"/>
      <color rgb="FF000000"/>
      <name val="Times New Roman"/>
      <family val="1"/>
    </font>
    <font>
      <sz val="11"/>
      <color rgb="FF000000"/>
      <name val="Calibri"/>
      <family val="2"/>
      <scheme val="minor"/>
    </font>
    <font>
      <b/>
      <sz val="11"/>
      <color theme="1"/>
      <name val="Times New Roman"/>
      <family val="1"/>
    </font>
    <font>
      <b/>
      <i/>
      <sz val="14"/>
      <color rgb="FF000000"/>
      <name val="Times New Roman"/>
      <family val="1"/>
    </font>
    <font>
      <sz val="11"/>
      <color theme="1"/>
      <name val="Times New Roman"/>
      <family val="1"/>
    </font>
  </fonts>
  <fills count="9">
    <fill>
      <patternFill patternType="none"/>
    </fill>
    <fill>
      <patternFill patternType="gray125"/>
    </fill>
    <fill>
      <patternFill patternType="solid">
        <fgColor rgb="FFFFFFC8"/>
        <bgColor indexed="64"/>
      </patternFill>
    </fill>
    <fill>
      <patternFill patternType="solid">
        <fgColor rgb="FFC8FFC8"/>
        <bgColor indexed="64"/>
      </patternFill>
    </fill>
    <fill>
      <patternFill patternType="solid">
        <fgColor rgb="FFFFE6C8"/>
        <bgColor indexed="64"/>
      </patternFill>
    </fill>
    <fill>
      <patternFill patternType="solid">
        <fgColor rgb="FFDCFFDC"/>
        <bgColor indexed="64"/>
      </patternFill>
    </fill>
    <fill>
      <patternFill patternType="solid">
        <fgColor rgb="FFDCE6FF"/>
        <bgColor indexed="64"/>
      </patternFill>
    </fill>
    <fill>
      <patternFill patternType="solid">
        <fgColor rgb="FFF0F0F0"/>
        <bgColor indexed="64"/>
      </patternFill>
    </fill>
    <fill>
      <patternFill patternType="solid">
        <fgColor rgb="FFFFFF99"/>
        <bgColor indexed="64"/>
      </patternFill>
    </fill>
  </fills>
  <borders count="22">
    <border>
      <left/>
      <right/>
      <top/>
      <bottom/>
      <diagonal/>
    </border>
    <border>
      <left/>
      <right/>
      <top style="thin">
        <color indexed="64"/>
      </top>
      <bottom/>
      <diagonal/>
    </border>
    <border>
      <left/>
      <right/>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top/>
      <bottom style="thick">
        <color auto="1"/>
      </bottom>
      <diagonal/>
    </border>
    <border>
      <left/>
      <right/>
      <top/>
      <bottom style="thick">
        <color auto="1"/>
      </bottom>
      <diagonal/>
    </border>
    <border>
      <left/>
      <right style="thick">
        <color indexed="64"/>
      </right>
      <top/>
      <bottom style="thick">
        <color auto="1"/>
      </bottom>
      <diagonal/>
    </border>
    <border>
      <left style="thick">
        <color indexed="64"/>
      </left>
      <right/>
      <top/>
      <bottom style="thin">
        <color indexed="64"/>
      </bottom>
      <diagonal/>
    </border>
    <border>
      <left/>
      <right/>
      <top/>
      <bottom style="thin">
        <color indexed="64"/>
      </bottom>
      <diagonal/>
    </border>
    <border>
      <left/>
      <right style="thick">
        <color indexed="64"/>
      </right>
      <top/>
      <bottom style="thin">
        <color indexed="64"/>
      </bottom>
      <diagonal/>
    </border>
    <border>
      <left style="thick">
        <color indexed="64"/>
      </left>
      <right/>
      <top style="thin">
        <color indexed="64"/>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s>
  <cellStyleXfs count="1">
    <xf numFmtId="0" fontId="0" fillId="0" borderId="0"/>
  </cellStyleXfs>
  <cellXfs count="170">
    <xf numFmtId="0" fontId="0" fillId="0" borderId="0" xfId="0"/>
    <xf numFmtId="0" fontId="2" fillId="0" borderId="1" xfId="0" applyFont="1" applyBorder="1" applyAlignment="1">
      <alignment horizontal="center" vertical="center"/>
    </xf>
    <xf numFmtId="0" fontId="3" fillId="0" borderId="0" xfId="0" applyFont="1" applyAlignment="1">
      <alignment horizontal="center"/>
    </xf>
    <xf numFmtId="0" fontId="2" fillId="0" borderId="0" xfId="0" applyFont="1" applyAlignment="1">
      <alignment horizontal="center" vertical="center"/>
    </xf>
    <xf numFmtId="0" fontId="2" fillId="0" borderId="2" xfId="0" applyFont="1" applyBorder="1" applyAlignment="1">
      <alignment horizontal="center" vertical="center"/>
    </xf>
    <xf numFmtId="0" fontId="4" fillId="0" borderId="3" xfId="0" applyFont="1" applyBorder="1" applyAlignment="1">
      <alignment horizontal="center" vertical="center" wrapText="1"/>
    </xf>
    <xf numFmtId="49" fontId="5" fillId="0" borderId="4" xfId="0" applyNumberFormat="1" applyFont="1" applyBorder="1" applyAlignment="1">
      <alignment horizontal="center" vertical="center" wrapText="1"/>
    </xf>
    <xf numFmtId="0" fontId="4" fillId="0" borderId="4" xfId="0" applyFont="1" applyBorder="1" applyAlignment="1">
      <alignment horizontal="center" vertical="center" wrapText="1"/>
    </xf>
    <xf numFmtId="2" fontId="4" fillId="0" borderId="4" xfId="0" applyNumberFormat="1" applyFont="1" applyBorder="1" applyAlignment="1">
      <alignment horizontal="center" vertical="center" wrapText="1"/>
    </xf>
    <xf numFmtId="0" fontId="4" fillId="0" borderId="5" xfId="0" applyFont="1" applyBorder="1" applyAlignment="1">
      <alignment horizontal="center" vertical="center" wrapText="1"/>
    </xf>
    <xf numFmtId="0" fontId="6" fillId="0" borderId="0" xfId="0" applyFont="1" applyAlignment="1">
      <alignment horizontal="center" vertical="center"/>
    </xf>
    <xf numFmtId="1" fontId="7" fillId="0" borderId="6" xfId="0" applyNumberFormat="1" applyFont="1" applyBorder="1" applyAlignment="1">
      <alignment horizontal="center" vertical="center"/>
    </xf>
    <xf numFmtId="49" fontId="7" fillId="0" borderId="7" xfId="0" applyNumberFormat="1" applyFont="1" applyBorder="1" applyAlignment="1">
      <alignment horizontal="center" vertical="center"/>
    </xf>
    <xf numFmtId="0" fontId="8" fillId="0" borderId="7" xfId="0" applyFont="1" applyBorder="1" applyAlignment="1">
      <alignment horizontal="left" vertical="center" wrapText="1"/>
    </xf>
    <xf numFmtId="0" fontId="3" fillId="0" borderId="8" xfId="0" applyFont="1" applyBorder="1" applyAlignment="1">
      <alignment horizontal="center" vertical="center"/>
    </xf>
    <xf numFmtId="0" fontId="3" fillId="0" borderId="9" xfId="0" applyFont="1" applyBorder="1" applyAlignment="1">
      <alignment horizontal="center" vertical="center"/>
    </xf>
    <xf numFmtId="2" fontId="3" fillId="0" borderId="9" xfId="0" applyNumberFormat="1" applyFont="1" applyBorder="1" applyAlignment="1">
      <alignment horizontal="center" vertical="center"/>
    </xf>
    <xf numFmtId="0" fontId="3" fillId="2" borderId="9" xfId="0" applyFont="1" applyFill="1" applyBorder="1" applyAlignment="1">
      <alignment horizontal="right" vertical="center"/>
    </xf>
    <xf numFmtId="0" fontId="10" fillId="0" borderId="9" xfId="0" applyFont="1" applyBorder="1" applyAlignment="1">
      <alignment horizontal="left" vertical="center"/>
    </xf>
    <xf numFmtId="0" fontId="3" fillId="3" borderId="9" xfId="0" applyFont="1" applyFill="1" applyBorder="1" applyAlignment="1">
      <alignment horizontal="center" vertical="center" wrapText="1"/>
    </xf>
    <xf numFmtId="0" fontId="3" fillId="4" borderId="9" xfId="0" applyFont="1" applyFill="1" applyBorder="1" applyAlignment="1">
      <alignment horizontal="right" vertical="center"/>
    </xf>
    <xf numFmtId="2" fontId="10" fillId="0" borderId="10" xfId="0" applyNumberFormat="1" applyFont="1" applyBorder="1" applyAlignment="1">
      <alignment horizontal="center" vertical="center"/>
    </xf>
    <xf numFmtId="0" fontId="7" fillId="0" borderId="7" xfId="0" applyFont="1" applyBorder="1" applyAlignment="1">
      <alignment horizontal="center" vertical="center"/>
    </xf>
    <xf numFmtId="0" fontId="3" fillId="0" borderId="7" xfId="0" applyFont="1" applyBorder="1" applyAlignment="1">
      <alignment horizontal="center" vertical="center" wrapText="1"/>
    </xf>
    <xf numFmtId="0" fontId="3" fillId="0" borderId="7" xfId="0" applyFont="1" applyBorder="1" applyAlignment="1">
      <alignment horizontal="center" vertical="center"/>
    </xf>
    <xf numFmtId="0" fontId="11" fillId="0" borderId="7" xfId="0" applyFont="1" applyBorder="1" applyAlignment="1">
      <alignment horizontal="center" vertical="center"/>
    </xf>
    <xf numFmtId="164" fontId="11" fillId="0" borderId="7" xfId="0" applyNumberFormat="1" applyFont="1" applyBorder="1" applyAlignment="1">
      <alignment horizontal="center" vertical="center"/>
    </xf>
    <xf numFmtId="2" fontId="11" fillId="0" borderId="7" xfId="0" applyNumberFormat="1" applyFont="1" applyBorder="1" applyAlignment="1">
      <alignment horizontal="center" vertical="center"/>
    </xf>
    <xf numFmtId="164" fontId="11" fillId="2" borderId="7" xfId="0" applyNumberFormat="1" applyFont="1" applyFill="1" applyBorder="1" applyAlignment="1">
      <alignment horizontal="right" vertical="center"/>
    </xf>
    <xf numFmtId="1" fontId="7" fillId="0" borderId="7" xfId="0" applyNumberFormat="1" applyFont="1" applyBorder="1" applyAlignment="1">
      <alignment horizontal="left" vertical="center"/>
    </xf>
    <xf numFmtId="1" fontId="11" fillId="3" borderId="7" xfId="0" applyNumberFormat="1" applyFont="1" applyFill="1" applyBorder="1" applyAlignment="1">
      <alignment horizontal="center" vertical="center" wrapText="1"/>
    </xf>
    <xf numFmtId="0" fontId="3" fillId="4" borderId="7" xfId="0" applyFont="1" applyFill="1" applyBorder="1" applyAlignment="1">
      <alignment horizontal="right" vertical="center"/>
    </xf>
    <xf numFmtId="2" fontId="10" fillId="0" borderId="11" xfId="0" applyNumberFormat="1" applyFont="1" applyBorder="1" applyAlignment="1">
      <alignment horizontal="center" vertical="center"/>
    </xf>
    <xf numFmtId="1" fontId="7" fillId="5" borderId="6" xfId="0" applyNumberFormat="1" applyFont="1" applyFill="1" applyBorder="1" applyAlignment="1">
      <alignment horizontal="center" vertical="center"/>
    </xf>
    <xf numFmtId="0" fontId="7" fillId="5" borderId="7" xfId="0" applyFont="1" applyFill="1" applyBorder="1" applyAlignment="1">
      <alignment horizontal="center" vertical="center"/>
    </xf>
    <xf numFmtId="0" fontId="10" fillId="5" borderId="7" xfId="0" applyFont="1" applyFill="1" applyBorder="1" applyAlignment="1">
      <alignment horizontal="center" vertical="center" wrapText="1"/>
    </xf>
    <xf numFmtId="0" fontId="10" fillId="5" borderId="7" xfId="0" applyFont="1" applyFill="1" applyBorder="1" applyAlignment="1">
      <alignment horizontal="center" vertical="center"/>
    </xf>
    <xf numFmtId="164" fontId="7" fillId="5" borderId="7" xfId="0" applyNumberFormat="1" applyFont="1" applyFill="1" applyBorder="1" applyAlignment="1">
      <alignment horizontal="center" vertical="center"/>
    </xf>
    <xf numFmtId="1" fontId="7" fillId="2" borderId="7" xfId="0" applyNumberFormat="1" applyFont="1" applyFill="1" applyBorder="1" applyAlignment="1">
      <alignment horizontal="right" vertical="center"/>
    </xf>
    <xf numFmtId="1" fontId="7" fillId="5" borderId="7" xfId="0" applyNumberFormat="1" applyFont="1" applyFill="1" applyBorder="1" applyAlignment="1">
      <alignment horizontal="left" vertical="center"/>
    </xf>
    <xf numFmtId="1" fontId="7" fillId="3" borderId="7" xfId="0" applyNumberFormat="1" applyFont="1" applyFill="1" applyBorder="1" applyAlignment="1">
      <alignment horizontal="center" vertical="center" wrapText="1"/>
    </xf>
    <xf numFmtId="165" fontId="10" fillId="4" borderId="7" xfId="0" applyNumberFormat="1" applyFont="1" applyFill="1" applyBorder="1" applyAlignment="1">
      <alignment horizontal="right" vertical="center"/>
    </xf>
    <xf numFmtId="2" fontId="10" fillId="5" borderId="11" xfId="0" applyNumberFormat="1" applyFont="1" applyFill="1" applyBorder="1" applyAlignment="1">
      <alignment horizontal="center" vertical="center"/>
    </xf>
    <xf numFmtId="1" fontId="7" fillId="6" borderId="6" xfId="0" applyNumberFormat="1" applyFont="1" applyFill="1" applyBorder="1" applyAlignment="1">
      <alignment horizontal="center" vertical="center"/>
    </xf>
    <xf numFmtId="0" fontId="7" fillId="6"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6" borderId="7" xfId="0" applyFont="1" applyFill="1" applyBorder="1" applyAlignment="1">
      <alignment horizontal="center" vertical="center"/>
    </xf>
    <xf numFmtId="2" fontId="7" fillId="6" borderId="7" xfId="0" applyNumberFormat="1" applyFont="1" applyFill="1" applyBorder="1" applyAlignment="1">
      <alignment horizontal="center" vertical="center"/>
    </xf>
    <xf numFmtId="164" fontId="7" fillId="2" borderId="7" xfId="0" applyNumberFormat="1" applyFont="1" applyFill="1" applyBorder="1" applyAlignment="1">
      <alignment horizontal="right" vertical="center"/>
    </xf>
    <xf numFmtId="1" fontId="7" fillId="6" borderId="7" xfId="0" applyNumberFormat="1" applyFont="1" applyFill="1" applyBorder="1" applyAlignment="1">
      <alignment horizontal="left" vertical="center" wrapText="1"/>
    </xf>
    <xf numFmtId="0" fontId="7" fillId="4" borderId="7" xfId="0" applyFont="1" applyFill="1" applyBorder="1" applyAlignment="1">
      <alignment horizontal="right" vertical="center"/>
    </xf>
    <xf numFmtId="166" fontId="10" fillId="6" borderId="11" xfId="0" applyNumberFormat="1" applyFont="1" applyFill="1" applyBorder="1" applyAlignment="1">
      <alignment horizontal="center" vertical="center"/>
    </xf>
    <xf numFmtId="1" fontId="7" fillId="7" borderId="6" xfId="0" applyNumberFormat="1" applyFont="1" applyFill="1" applyBorder="1" applyAlignment="1">
      <alignment horizontal="center" vertical="center"/>
    </xf>
    <xf numFmtId="0" fontId="7" fillId="7" borderId="7" xfId="0" applyFont="1" applyFill="1" applyBorder="1" applyAlignment="1">
      <alignment horizontal="center" vertical="center"/>
    </xf>
    <xf numFmtId="0" fontId="3" fillId="7" borderId="7" xfId="0" applyFont="1" applyFill="1" applyBorder="1" applyAlignment="1">
      <alignment horizontal="center" vertical="center" wrapText="1"/>
    </xf>
    <xf numFmtId="0" fontId="3" fillId="7" borderId="7" xfId="0" applyFont="1" applyFill="1" applyBorder="1" applyAlignment="1">
      <alignment horizontal="center" vertical="center"/>
    </xf>
    <xf numFmtId="1" fontId="7" fillId="7" borderId="7" xfId="0" applyNumberFormat="1" applyFont="1" applyFill="1" applyBorder="1" applyAlignment="1">
      <alignment horizontal="center" vertical="center"/>
    </xf>
    <xf numFmtId="2" fontId="7" fillId="7" borderId="7" xfId="0" applyNumberFormat="1" applyFont="1" applyFill="1" applyBorder="1" applyAlignment="1">
      <alignment horizontal="center" vertical="center"/>
    </xf>
    <xf numFmtId="1" fontId="7" fillId="7" borderId="7" xfId="0" applyNumberFormat="1" applyFont="1" applyFill="1" applyBorder="1" applyAlignment="1">
      <alignment horizontal="left" vertical="center"/>
    </xf>
    <xf numFmtId="2" fontId="10" fillId="7" borderId="11" xfId="0" applyNumberFormat="1" applyFont="1" applyFill="1" applyBorder="1" applyAlignment="1">
      <alignment horizontal="center" vertical="center"/>
    </xf>
    <xf numFmtId="1" fontId="11" fillId="3" borderId="9" xfId="0" applyNumberFormat="1" applyFont="1" applyFill="1" applyBorder="1" applyAlignment="1">
      <alignment horizontal="center" vertical="center" wrapText="1"/>
    </xf>
    <xf numFmtId="2" fontId="11" fillId="4" borderId="9" xfId="0" applyNumberFormat="1" applyFont="1" applyFill="1" applyBorder="1" applyAlignment="1">
      <alignment horizontal="right" vertical="center"/>
    </xf>
    <xf numFmtId="2" fontId="7" fillId="0" borderId="10" xfId="0" applyNumberFormat="1" applyFont="1" applyBorder="1" applyAlignment="1">
      <alignment horizontal="center" vertical="center"/>
    </xf>
    <xf numFmtId="2" fontId="11" fillId="4" borderId="7" xfId="0" applyNumberFormat="1" applyFont="1" applyFill="1" applyBorder="1" applyAlignment="1">
      <alignment horizontal="right" vertical="center"/>
    </xf>
    <xf numFmtId="2" fontId="7" fillId="0" borderId="11" xfId="0" applyNumberFormat="1" applyFont="1" applyBorder="1" applyAlignment="1">
      <alignment horizontal="center" vertical="center"/>
    </xf>
    <xf numFmtId="165" fontId="7" fillId="4" borderId="7" xfId="0" applyNumberFormat="1" applyFont="1" applyFill="1" applyBorder="1" applyAlignment="1">
      <alignment horizontal="right" vertical="center"/>
    </xf>
    <xf numFmtId="2" fontId="7" fillId="5" borderId="11" xfId="0" applyNumberFormat="1" applyFont="1" applyFill="1" applyBorder="1" applyAlignment="1">
      <alignment horizontal="center" vertical="center"/>
    </xf>
    <xf numFmtId="0" fontId="7" fillId="6" borderId="7" xfId="0" applyFont="1" applyFill="1" applyBorder="1" applyAlignment="1">
      <alignment horizontal="left" vertical="center" wrapText="1"/>
    </xf>
    <xf numFmtId="0" fontId="7" fillId="3" borderId="7" xfId="0" applyFont="1" applyFill="1" applyBorder="1" applyAlignment="1">
      <alignment horizontal="center" vertical="center" wrapText="1"/>
    </xf>
    <xf numFmtId="2" fontId="7" fillId="4" borderId="7" xfId="0" applyNumberFormat="1" applyFont="1" applyFill="1" applyBorder="1" applyAlignment="1">
      <alignment horizontal="right" vertical="center"/>
    </xf>
    <xf numFmtId="164" fontId="3" fillId="7" borderId="7" xfId="0" applyNumberFormat="1" applyFont="1" applyFill="1" applyBorder="1" applyAlignment="1">
      <alignment horizontal="center" vertical="center"/>
    </xf>
    <xf numFmtId="0" fontId="7" fillId="7" borderId="7" xfId="0" applyFont="1" applyFill="1" applyBorder="1" applyAlignment="1">
      <alignment horizontal="left" vertical="center"/>
    </xf>
    <xf numFmtId="2" fontId="3" fillId="0" borderId="7" xfId="0" applyNumberFormat="1" applyFont="1" applyBorder="1" applyAlignment="1">
      <alignment horizontal="center" vertical="center"/>
    </xf>
    <xf numFmtId="164" fontId="3" fillId="2" borderId="7" xfId="0" applyNumberFormat="1" applyFont="1" applyFill="1" applyBorder="1" applyAlignment="1">
      <alignment horizontal="right" vertical="center"/>
    </xf>
    <xf numFmtId="0" fontId="7" fillId="0" borderId="7" xfId="0" applyFont="1" applyBorder="1" applyAlignment="1">
      <alignment horizontal="left" vertical="center"/>
    </xf>
    <xf numFmtId="0" fontId="11" fillId="3" borderId="7" xfId="0" applyFont="1" applyFill="1" applyBorder="1" applyAlignment="1">
      <alignment horizontal="center" vertical="center" wrapText="1"/>
    </xf>
    <xf numFmtId="2" fontId="7" fillId="5" borderId="7" xfId="0" applyNumberFormat="1" applyFont="1" applyFill="1" applyBorder="1" applyAlignment="1">
      <alignment horizontal="center" vertical="center"/>
    </xf>
    <xf numFmtId="0" fontId="7" fillId="5" borderId="7" xfId="0" applyFont="1" applyFill="1" applyBorder="1" applyAlignment="1">
      <alignment horizontal="left" vertical="center"/>
    </xf>
    <xf numFmtId="2" fontId="7" fillId="2" borderId="7" xfId="0" applyNumberFormat="1" applyFont="1" applyFill="1" applyBorder="1" applyAlignment="1">
      <alignment horizontal="right" vertical="center"/>
    </xf>
    <xf numFmtId="2" fontId="7" fillId="7" borderId="11" xfId="0" applyNumberFormat="1" applyFont="1" applyFill="1" applyBorder="1" applyAlignment="1">
      <alignment horizontal="center" vertical="center"/>
    </xf>
    <xf numFmtId="0" fontId="8" fillId="0" borderId="7" xfId="0" applyFont="1" applyBorder="1" applyAlignment="1">
      <alignment vertical="center" wrapText="1"/>
    </xf>
    <xf numFmtId="164" fontId="3" fillId="0" borderId="9" xfId="0" applyNumberFormat="1" applyFont="1" applyBorder="1" applyAlignment="1">
      <alignment horizontal="center" vertical="center"/>
    </xf>
    <xf numFmtId="2" fontId="7" fillId="0" borderId="9" xfId="0" applyNumberFormat="1" applyFont="1" applyBorder="1" applyAlignment="1">
      <alignment horizontal="center" vertical="center"/>
    </xf>
    <xf numFmtId="2" fontId="7" fillId="2" borderId="9" xfId="0" applyNumberFormat="1" applyFont="1" applyFill="1" applyBorder="1" applyAlignment="1">
      <alignment horizontal="right" vertical="center"/>
    </xf>
    <xf numFmtId="0" fontId="7" fillId="0" borderId="9" xfId="0" applyFont="1" applyBorder="1" applyAlignment="1">
      <alignment horizontal="left" vertical="center"/>
    </xf>
    <xf numFmtId="0" fontId="7" fillId="3" borderId="9" xfId="0" applyFont="1" applyFill="1" applyBorder="1" applyAlignment="1">
      <alignment horizontal="center" vertical="center" wrapText="1"/>
    </xf>
    <xf numFmtId="2" fontId="7" fillId="4" borderId="9" xfId="0" applyNumberFormat="1" applyFont="1" applyFill="1" applyBorder="1" applyAlignment="1">
      <alignment horizontal="right" vertical="center"/>
    </xf>
    <xf numFmtId="164" fontId="3" fillId="0" borderId="7" xfId="0" applyNumberFormat="1" applyFont="1" applyBorder="1" applyAlignment="1">
      <alignment horizontal="center" vertical="center"/>
    </xf>
    <xf numFmtId="2" fontId="7" fillId="0" borderId="7" xfId="0" applyNumberFormat="1" applyFont="1" applyBorder="1" applyAlignment="1">
      <alignment horizontal="center" vertical="center"/>
    </xf>
    <xf numFmtId="0" fontId="10" fillId="6" borderId="7" xfId="0" applyFont="1" applyFill="1" applyBorder="1" applyAlignment="1">
      <alignment horizontal="center" vertical="center"/>
    </xf>
    <xf numFmtId="166" fontId="7" fillId="6" borderId="11" xfId="0" applyNumberFormat="1" applyFont="1" applyFill="1" applyBorder="1" applyAlignment="1">
      <alignment horizontal="center" vertical="center"/>
    </xf>
    <xf numFmtId="0" fontId="12" fillId="0" borderId="7" xfId="0" applyFont="1" applyBorder="1" applyAlignment="1">
      <alignment vertical="center" wrapText="1"/>
    </xf>
    <xf numFmtId="164" fontId="10" fillId="5" borderId="7" xfId="0" applyNumberFormat="1" applyFont="1" applyFill="1" applyBorder="1" applyAlignment="1">
      <alignment horizontal="center" vertical="center"/>
    </xf>
    <xf numFmtId="0" fontId="11" fillId="3" borderId="9" xfId="0" applyFont="1" applyFill="1" applyBorder="1" applyAlignment="1">
      <alignment horizontal="center" vertical="center" wrapText="1"/>
    </xf>
    <xf numFmtId="0" fontId="10" fillId="5" borderId="7" xfId="0" applyFont="1" applyFill="1" applyBorder="1" applyAlignment="1">
      <alignment horizontal="center" vertical="center"/>
    </xf>
    <xf numFmtId="164" fontId="10" fillId="2" borderId="7" xfId="0" applyNumberFormat="1" applyFont="1" applyFill="1" applyBorder="1" applyAlignment="1">
      <alignment horizontal="right" vertical="center"/>
    </xf>
    <xf numFmtId="49" fontId="10" fillId="0" borderId="7" xfId="0" applyNumberFormat="1" applyFont="1" applyBorder="1" applyAlignment="1">
      <alignment horizontal="center" vertical="center"/>
    </xf>
    <xf numFmtId="2" fontId="11" fillId="0" borderId="9" xfId="0" applyNumberFormat="1" applyFont="1" applyBorder="1" applyAlignment="1">
      <alignment horizontal="center" vertical="center"/>
    </xf>
    <xf numFmtId="2" fontId="11" fillId="2" borderId="9" xfId="0" applyNumberFormat="1" applyFont="1" applyFill="1" applyBorder="1" applyAlignment="1">
      <alignment horizontal="right" vertical="center"/>
    </xf>
    <xf numFmtId="0" fontId="14" fillId="0" borderId="7" xfId="0" applyFont="1" applyBorder="1" applyAlignment="1">
      <alignment horizontal="center" vertical="center"/>
    </xf>
    <xf numFmtId="0" fontId="15" fillId="0" borderId="7" xfId="0" applyFont="1" applyBorder="1" applyAlignment="1">
      <alignment vertical="center"/>
    </xf>
    <xf numFmtId="0" fontId="15" fillId="0" borderId="7" xfId="0" applyFont="1" applyBorder="1" applyAlignment="1" applyProtection="1">
      <alignment horizontal="center" vertical="center"/>
      <protection locked="0"/>
    </xf>
    <xf numFmtId="2" fontId="15" fillId="0" borderId="7" xfId="0" applyNumberFormat="1" applyFont="1" applyBorder="1" applyAlignment="1" applyProtection="1">
      <alignment horizontal="center" vertical="center"/>
      <protection locked="0"/>
    </xf>
    <xf numFmtId="164" fontId="15" fillId="2" borderId="7" xfId="0" applyNumberFormat="1" applyFont="1" applyFill="1" applyBorder="1" applyAlignment="1">
      <alignment horizontal="right" vertical="center"/>
    </xf>
    <xf numFmtId="0" fontId="5" fillId="0" borderId="7" xfId="0" applyFont="1" applyBorder="1" applyAlignment="1" applyProtection="1">
      <alignment horizontal="left" vertical="center"/>
      <protection locked="0"/>
    </xf>
    <xf numFmtId="0" fontId="15" fillId="3" borderId="7" xfId="0" applyFont="1" applyFill="1" applyBorder="1" applyAlignment="1" applyProtection="1">
      <alignment horizontal="center" vertical="center" wrapText="1"/>
      <protection locked="0"/>
    </xf>
    <xf numFmtId="0" fontId="5" fillId="4" borderId="7" xfId="0" applyFont="1" applyFill="1" applyBorder="1" applyAlignment="1" applyProtection="1">
      <alignment horizontal="right" vertical="center"/>
      <protection locked="0"/>
    </xf>
    <xf numFmtId="2" fontId="5" fillId="0" borderId="11" xfId="0" applyNumberFormat="1" applyFont="1" applyBorder="1" applyAlignment="1" applyProtection="1">
      <alignment horizontal="center" vertical="center"/>
      <protection locked="0"/>
    </xf>
    <xf numFmtId="0" fontId="14" fillId="5" borderId="7" xfId="0" applyFont="1" applyFill="1" applyBorder="1" applyAlignment="1">
      <alignment horizontal="center" vertical="center"/>
    </xf>
    <xf numFmtId="0" fontId="5" fillId="5" borderId="7" xfId="0" applyFont="1" applyFill="1" applyBorder="1" applyAlignment="1">
      <alignment vertical="center"/>
    </xf>
    <xf numFmtId="0" fontId="5" fillId="5" borderId="7" xfId="0" applyFont="1" applyFill="1" applyBorder="1" applyAlignment="1" applyProtection="1">
      <alignment horizontal="center" vertical="center"/>
      <protection locked="0"/>
    </xf>
    <xf numFmtId="2" fontId="5" fillId="5" borderId="7" xfId="0" applyNumberFormat="1" applyFont="1" applyFill="1" applyBorder="1" applyAlignment="1">
      <alignment horizontal="center" vertical="center"/>
    </xf>
    <xf numFmtId="2" fontId="5" fillId="2" borderId="7" xfId="0" applyNumberFormat="1" applyFont="1" applyFill="1" applyBorder="1" applyAlignment="1">
      <alignment horizontal="right" vertical="center"/>
    </xf>
    <xf numFmtId="0" fontId="5" fillId="5" borderId="7" xfId="0" applyFont="1" applyFill="1" applyBorder="1" applyAlignment="1" applyProtection="1">
      <alignment horizontal="left" vertical="center"/>
      <protection locked="0"/>
    </xf>
    <xf numFmtId="0" fontId="5" fillId="3" borderId="7" xfId="0" applyFont="1" applyFill="1" applyBorder="1" applyAlignment="1" applyProtection="1">
      <alignment horizontal="center" vertical="center" wrapText="1"/>
      <protection locked="0"/>
    </xf>
    <xf numFmtId="165" fontId="5" fillId="4" borderId="7" xfId="0" applyNumberFormat="1" applyFont="1" applyFill="1" applyBorder="1" applyAlignment="1">
      <alignment horizontal="right" vertical="center"/>
    </xf>
    <xf numFmtId="2" fontId="5" fillId="5" borderId="11" xfId="0" applyNumberFormat="1" applyFont="1" applyFill="1" applyBorder="1" applyAlignment="1" applyProtection="1">
      <alignment horizontal="center" vertical="center"/>
      <protection locked="0"/>
    </xf>
    <xf numFmtId="0" fontId="14" fillId="6" borderId="7" xfId="0" applyFont="1" applyFill="1" applyBorder="1" applyAlignment="1">
      <alignment horizontal="center" vertical="center"/>
    </xf>
    <xf numFmtId="0" fontId="5" fillId="6" borderId="7" xfId="0" applyFont="1" applyFill="1" applyBorder="1" applyAlignment="1">
      <alignment vertical="center"/>
    </xf>
    <xf numFmtId="0" fontId="5" fillId="6" borderId="7" xfId="0" applyFont="1" applyFill="1" applyBorder="1" applyAlignment="1" applyProtection="1">
      <alignment horizontal="center" vertical="center"/>
      <protection locked="0"/>
    </xf>
    <xf numFmtId="0" fontId="5" fillId="6" borderId="7" xfId="0" applyFont="1" applyFill="1" applyBorder="1" applyAlignment="1">
      <alignment horizontal="center" vertical="center"/>
    </xf>
    <xf numFmtId="164" fontId="5" fillId="2" borderId="7" xfId="0" applyNumberFormat="1" applyFont="1" applyFill="1" applyBorder="1" applyAlignment="1">
      <alignment horizontal="right" vertical="center"/>
    </xf>
    <xf numFmtId="0" fontId="5" fillId="6" borderId="7" xfId="0" applyFont="1" applyFill="1" applyBorder="1" applyAlignment="1" applyProtection="1">
      <alignment horizontal="left" vertical="center" wrapText="1"/>
      <protection locked="0"/>
    </xf>
    <xf numFmtId="0" fontId="5" fillId="4" borderId="7" xfId="0" applyFont="1" applyFill="1" applyBorder="1" applyAlignment="1">
      <alignment horizontal="right" vertical="center"/>
    </xf>
    <xf numFmtId="166" fontId="5" fillId="6" borderId="11" xfId="0" applyNumberFormat="1" applyFont="1" applyFill="1" applyBorder="1" applyAlignment="1">
      <alignment horizontal="center" vertical="center"/>
    </xf>
    <xf numFmtId="0" fontId="10" fillId="4" borderId="7" xfId="0" applyFont="1" applyFill="1" applyBorder="1" applyAlignment="1">
      <alignment horizontal="right" vertical="center"/>
    </xf>
    <xf numFmtId="0" fontId="3" fillId="0" borderId="0" xfId="0" applyFont="1" applyAlignment="1">
      <alignment horizontal="center" vertical="center"/>
    </xf>
    <xf numFmtId="0" fontId="10" fillId="7" borderId="7" xfId="0" applyFont="1" applyFill="1" applyBorder="1" applyAlignment="1">
      <alignment horizontal="center" vertical="center" wrapText="1"/>
    </xf>
    <xf numFmtId="0" fontId="10" fillId="7" borderId="7" xfId="0" applyFont="1" applyFill="1" applyBorder="1" applyAlignment="1">
      <alignment horizontal="center" vertical="center"/>
    </xf>
    <xf numFmtId="0" fontId="7" fillId="7" borderId="7" xfId="0" applyFont="1" applyFill="1" applyBorder="1" applyAlignment="1">
      <alignment horizontal="left" vertical="center" wrapText="1"/>
    </xf>
    <xf numFmtId="166" fontId="7" fillId="7" borderId="11" xfId="0" applyNumberFormat="1" applyFont="1" applyFill="1" applyBorder="1" applyAlignment="1">
      <alignment horizontal="center" vertical="center"/>
    </xf>
    <xf numFmtId="0" fontId="8" fillId="0" borderId="7" xfId="0" applyFont="1" applyBorder="1" applyAlignment="1">
      <alignment horizontal="center" vertical="center" wrapText="1"/>
    </xf>
    <xf numFmtId="0" fontId="10" fillId="0" borderId="7" xfId="0" applyFont="1" applyBorder="1" applyAlignment="1">
      <alignment horizontal="center" vertical="center"/>
    </xf>
    <xf numFmtId="0" fontId="7" fillId="0" borderId="7" xfId="0" applyFont="1" applyBorder="1" applyAlignment="1">
      <alignment horizontal="left" vertical="center" wrapText="1"/>
    </xf>
    <xf numFmtId="166" fontId="7" fillId="0" borderId="11" xfId="0" applyNumberFormat="1" applyFont="1" applyBorder="1" applyAlignment="1">
      <alignment horizontal="center" vertical="center"/>
    </xf>
    <xf numFmtId="0" fontId="7" fillId="5" borderId="7" xfId="0" applyFont="1" applyFill="1" applyBorder="1" applyAlignment="1">
      <alignment horizontal="left" vertical="center" wrapText="1"/>
    </xf>
    <xf numFmtId="166" fontId="7" fillId="5" borderId="11" xfId="0" applyNumberFormat="1" applyFont="1" applyFill="1" applyBorder="1" applyAlignment="1">
      <alignment horizontal="center" vertical="center"/>
    </xf>
    <xf numFmtId="0" fontId="7" fillId="6" borderId="6" xfId="0" applyFont="1" applyFill="1" applyBorder="1" applyAlignment="1">
      <alignment horizontal="center" vertical="center"/>
    </xf>
    <xf numFmtId="0" fontId="1" fillId="6" borderId="7" xfId="0" applyFont="1" applyFill="1" applyBorder="1" applyAlignment="1">
      <alignment horizontal="center" vertical="center"/>
    </xf>
    <xf numFmtId="164" fontId="1" fillId="2" borderId="7" xfId="0" applyNumberFormat="1" applyFont="1" applyFill="1" applyBorder="1" applyAlignment="1">
      <alignment horizontal="right" vertical="center"/>
    </xf>
    <xf numFmtId="0" fontId="1" fillId="6" borderId="7" xfId="0" applyFont="1" applyFill="1" applyBorder="1" applyAlignment="1">
      <alignment horizontal="left" vertical="center" wrapText="1"/>
    </xf>
    <xf numFmtId="0" fontId="16" fillId="3" borderId="7" xfId="0" applyFont="1" applyFill="1" applyBorder="1" applyAlignment="1">
      <alignment horizontal="center" vertical="center" wrapText="1"/>
    </xf>
    <xf numFmtId="0" fontId="17" fillId="4" borderId="7" xfId="0" applyFont="1" applyFill="1" applyBorder="1" applyAlignment="1">
      <alignment horizontal="right" vertical="center"/>
    </xf>
    <xf numFmtId="166" fontId="17" fillId="6" borderId="11" xfId="0" applyNumberFormat="1" applyFont="1" applyFill="1" applyBorder="1" applyAlignment="1">
      <alignment horizontal="center" vertical="center"/>
    </xf>
    <xf numFmtId="0" fontId="0" fillId="0" borderId="0" xfId="0" applyAlignment="1">
      <alignment vertical="center"/>
    </xf>
    <xf numFmtId="0" fontId="3" fillId="7" borderId="12" xfId="0" applyFont="1" applyFill="1" applyBorder="1" applyAlignment="1">
      <alignment horizontal="center" vertical="center"/>
    </xf>
    <xf numFmtId="0" fontId="10" fillId="7" borderId="13" xfId="0" applyFont="1" applyFill="1" applyBorder="1" applyAlignment="1">
      <alignment horizontal="center" vertical="center"/>
    </xf>
    <xf numFmtId="0" fontId="3" fillId="7" borderId="13" xfId="0" applyFont="1" applyFill="1" applyBorder="1" applyAlignment="1">
      <alignment horizontal="center" vertical="center"/>
    </xf>
    <xf numFmtId="0" fontId="0" fillId="7" borderId="13" xfId="0" applyFill="1" applyBorder="1" applyAlignment="1">
      <alignment vertical="center"/>
    </xf>
    <xf numFmtId="0" fontId="0" fillId="7" borderId="13" xfId="0" applyFill="1" applyBorder="1" applyAlignment="1">
      <alignment horizontal="center" vertical="center"/>
    </xf>
    <xf numFmtId="0" fontId="18" fillId="7" borderId="13" xfId="0" applyFont="1" applyFill="1" applyBorder="1" applyAlignment="1">
      <alignment horizontal="center" vertical="center"/>
    </xf>
    <xf numFmtId="0" fontId="19" fillId="7" borderId="13" xfId="0" applyFont="1" applyFill="1" applyBorder="1" applyAlignment="1">
      <alignment horizontal="center" vertical="center"/>
    </xf>
    <xf numFmtId="166" fontId="17" fillId="7" borderId="14" xfId="0" applyNumberFormat="1" applyFont="1" applyFill="1" applyBorder="1" applyAlignment="1">
      <alignment horizontal="center" vertical="center"/>
    </xf>
    <xf numFmtId="0" fontId="10" fillId="0" borderId="0" xfId="0" applyFont="1" applyAlignment="1">
      <alignment horizontal="center" vertical="center"/>
    </xf>
    <xf numFmtId="0" fontId="16" fillId="8" borderId="15" xfId="0" applyFont="1" applyFill="1" applyBorder="1" applyAlignment="1">
      <alignment horizontal="centerContinuous" vertical="center"/>
    </xf>
    <xf numFmtId="0" fontId="17" fillId="8" borderId="16" xfId="0" applyFont="1" applyFill="1" applyBorder="1" applyAlignment="1">
      <alignment horizontal="centerContinuous"/>
    </xf>
    <xf numFmtId="166" fontId="17" fillId="8" borderId="17" xfId="0" applyNumberFormat="1" applyFont="1" applyFill="1" applyBorder="1" applyAlignment="1">
      <alignment horizontal="center" vertical="center"/>
    </xf>
    <xf numFmtId="0" fontId="16" fillId="8" borderId="18" xfId="0" applyFont="1" applyFill="1" applyBorder="1" applyAlignment="1">
      <alignment horizontal="centerContinuous" vertical="center"/>
    </xf>
    <xf numFmtId="0" fontId="17" fillId="8" borderId="9" xfId="0" applyFont="1" applyFill="1" applyBorder="1" applyAlignment="1">
      <alignment horizontal="centerContinuous"/>
    </xf>
    <xf numFmtId="166" fontId="17" fillId="8" borderId="10" xfId="0" applyNumberFormat="1" applyFont="1" applyFill="1" applyBorder="1" applyAlignment="1">
      <alignment horizontal="center" vertical="center"/>
    </xf>
    <xf numFmtId="0" fontId="16" fillId="8" borderId="19" xfId="0" applyFont="1" applyFill="1" applyBorder="1" applyAlignment="1">
      <alignment horizontal="centerContinuous" vertical="center"/>
    </xf>
    <xf numFmtId="0" fontId="17" fillId="8" borderId="20" xfId="0" applyFont="1" applyFill="1" applyBorder="1" applyAlignment="1">
      <alignment horizontal="centerContinuous"/>
    </xf>
    <xf numFmtId="166" fontId="17" fillId="8" borderId="21" xfId="0" applyNumberFormat="1" applyFont="1" applyFill="1" applyBorder="1" applyAlignment="1">
      <alignment horizontal="center" vertical="center"/>
    </xf>
    <xf numFmtId="0" fontId="20" fillId="0" borderId="0" xfId="0" applyFont="1" applyAlignment="1">
      <alignment horizontal="centerContinuous" vertical="center"/>
    </xf>
    <xf numFmtId="0" fontId="1" fillId="0" borderId="0" xfId="0" applyFont="1" applyAlignment="1">
      <alignment horizontal="centerContinuous"/>
    </xf>
    <xf numFmtId="0" fontId="1" fillId="0" borderId="0" xfId="0" applyFont="1" applyAlignment="1">
      <alignment horizontal="center" vertical="center"/>
    </xf>
    <xf numFmtId="0" fontId="21" fillId="0" borderId="0" xfId="0" applyFont="1" applyAlignment="1">
      <alignment horizontal="right" vertical="center" wrapText="1"/>
    </xf>
    <xf numFmtId="0" fontId="21" fillId="0" borderId="0" xfId="0" applyFont="1" applyAlignment="1">
      <alignment horizontal="centerContinuous" vertical="center" wrapText="1"/>
    </xf>
    <xf numFmtId="0" fontId="22" fillId="0" borderId="0" xfId="0" applyFont="1" applyAlignment="1">
      <alignment horizontal="centerContinuous"/>
    </xf>
    <xf numFmtId="2" fontId="3" fillId="0" borderId="0" xfId="0" applyNumberFormat="1" applyFont="1" applyAlignment="1">
      <alignment horizontal="center" vertical="center"/>
    </xf>
  </cellXfs>
  <cellStyles count="1">
    <cellStyle name="Normal" xfId="0" builtinId="0"/>
  </cellStyles>
  <dxfs count="10">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03270-EB68-4E01-95AC-4C81CB5AD40B}">
  <dimension ref="A1:M75"/>
  <sheetViews>
    <sheetView showGridLines="0" tabSelected="1" zoomScaleNormal="100" zoomScaleSheetLayoutView="100" workbookViewId="0">
      <pane ySplit="4" topLeftCell="A75" activePane="bottomLeft" state="frozen"/>
      <selection pane="bottomLeft" activeCell="C9" sqref="C9"/>
    </sheetView>
  </sheetViews>
  <sheetFormatPr defaultColWidth="0" defaultRowHeight="15.75" customHeight="1" zeroHeight="1" x14ac:dyDescent="0.25"/>
  <cols>
    <col min="1" max="1" width="10.7109375" style="126" customWidth="1"/>
    <col min="2" max="2" width="10.7109375" style="153" customWidth="1"/>
    <col min="3" max="3" width="69.7109375" style="126" customWidth="1"/>
    <col min="4" max="6" width="10.7109375" style="126" customWidth="1"/>
    <col min="7" max="7" width="10.7109375" style="169" customWidth="1"/>
    <col min="8" max="8" width="10.7109375" style="126" customWidth="1"/>
    <col min="9" max="9" width="10.7109375" style="153" customWidth="1"/>
    <col min="10" max="11" width="10.7109375" style="126" customWidth="1"/>
    <col min="12" max="12" width="10.42578125" style="169" bestFit="1" customWidth="1"/>
    <col min="13" max="13" width="9.140625" style="2" customWidth="1"/>
    <col min="14" max="14" width="5.7109375" style="2" customWidth="1"/>
    <col min="15" max="16384" width="9.140625" style="2" hidden="1"/>
  </cols>
  <sheetData>
    <row r="1" spans="1:12" ht="22.5" customHeight="1" x14ac:dyDescent="0.25">
      <c r="A1" s="1" t="s">
        <v>0</v>
      </c>
      <c r="B1" s="1"/>
      <c r="C1" s="1"/>
      <c r="D1" s="1"/>
      <c r="E1" s="1"/>
      <c r="F1" s="1"/>
      <c r="G1" s="1"/>
      <c r="H1" s="1"/>
      <c r="I1" s="1"/>
      <c r="J1" s="1"/>
      <c r="K1" s="1"/>
      <c r="L1" s="1"/>
    </row>
    <row r="2" spans="1:12" ht="22.5" customHeight="1" x14ac:dyDescent="0.25">
      <c r="A2" s="3"/>
      <c r="B2" s="3"/>
      <c r="C2" s="3"/>
      <c r="D2" s="3"/>
      <c r="E2" s="3"/>
      <c r="F2" s="3"/>
      <c r="G2" s="3"/>
      <c r="H2" s="3"/>
      <c r="I2" s="3"/>
      <c r="J2" s="3"/>
      <c r="K2" s="3"/>
      <c r="L2" s="3"/>
    </row>
    <row r="3" spans="1:12" ht="23.25" customHeight="1" thickBot="1" x14ac:dyDescent="0.3">
      <c r="A3" s="4"/>
      <c r="B3" s="4"/>
      <c r="C3" s="4"/>
      <c r="D3" s="4"/>
      <c r="E3" s="4"/>
      <c r="F3" s="4"/>
      <c r="G3" s="4"/>
      <c r="H3" s="4"/>
      <c r="I3" s="4"/>
      <c r="J3" s="4"/>
      <c r="K3" s="4"/>
      <c r="L3" s="4"/>
    </row>
    <row r="4" spans="1:12" s="10" customFormat="1" ht="38.25" thickTop="1" x14ac:dyDescent="0.25">
      <c r="A4" s="5" t="s">
        <v>1</v>
      </c>
      <c r="B4" s="6" t="s">
        <v>2</v>
      </c>
      <c r="C4" s="7" t="s">
        <v>3</v>
      </c>
      <c r="D4" s="7" t="s">
        <v>4</v>
      </c>
      <c r="E4" s="7" t="s">
        <v>5</v>
      </c>
      <c r="F4" s="7" t="s">
        <v>6</v>
      </c>
      <c r="G4" s="7" t="s">
        <v>7</v>
      </c>
      <c r="H4" s="8" t="s">
        <v>8</v>
      </c>
      <c r="I4" s="7" t="s">
        <v>9</v>
      </c>
      <c r="J4" s="7" t="s">
        <v>10</v>
      </c>
      <c r="K4" s="7" t="s">
        <v>11</v>
      </c>
      <c r="L4" s="9" t="s">
        <v>12</v>
      </c>
    </row>
    <row r="5" spans="1:12" ht="91.5" x14ac:dyDescent="0.25">
      <c r="A5" s="11">
        <f>IFERROR(LOOKUP(2,1/(ISNUMBER($A$4:$A$4)),$A$4:$A$4),0)+1</f>
        <v>1</v>
      </c>
      <c r="B5" s="12" t="s">
        <v>13</v>
      </c>
      <c r="C5" s="13" t="s">
        <v>14</v>
      </c>
      <c r="D5" s="14"/>
      <c r="E5" s="15"/>
      <c r="F5" s="15"/>
      <c r="G5" s="16"/>
      <c r="H5" s="17"/>
      <c r="I5" s="18"/>
      <c r="J5" s="19"/>
      <c r="K5" s="20"/>
      <c r="L5" s="21"/>
    </row>
    <row r="6" spans="1:12" x14ac:dyDescent="0.25">
      <c r="A6" s="11"/>
      <c r="B6" s="22"/>
      <c r="C6" s="23" t="s">
        <v>15</v>
      </c>
      <c r="D6" s="24">
        <v>2</v>
      </c>
      <c r="E6" s="25">
        <f>(2.75-1.125)+70</f>
        <v>71.625</v>
      </c>
      <c r="F6" s="26">
        <v>3</v>
      </c>
      <c r="G6" s="27">
        <v>3</v>
      </c>
      <c r="H6" s="28">
        <f>D6*IF(OR(E6=0,E6="-"),1,E6)*IF(OR(F6=0,F6="-"),1,F6)*IF(OR(G6=0,G6="-"),1,G6)</f>
        <v>1289.25</v>
      </c>
      <c r="I6" s="29" t="s">
        <v>16</v>
      </c>
      <c r="J6" s="30"/>
      <c r="K6" s="31"/>
      <c r="L6" s="32"/>
    </row>
    <row r="7" spans="1:12" x14ac:dyDescent="0.25">
      <c r="A7" s="11"/>
      <c r="B7" s="22"/>
      <c r="C7" s="23" t="s">
        <v>17</v>
      </c>
      <c r="D7" s="24">
        <v>3</v>
      </c>
      <c r="E7" s="25">
        <v>33.375</v>
      </c>
      <c r="F7" s="26">
        <v>3</v>
      </c>
      <c r="G7" s="27">
        <v>3</v>
      </c>
      <c r="H7" s="28">
        <f>D7*IF(OR(E7=0,E7="-"),1,E7)*IF(OR(F7=0,F7="-"),1,F7)*IF(OR(G7=0,G7="-"),1,G7)</f>
        <v>901.125</v>
      </c>
      <c r="I7" s="29" t="s">
        <v>16</v>
      </c>
      <c r="J7" s="30"/>
      <c r="K7" s="31"/>
      <c r="L7" s="32"/>
    </row>
    <row r="8" spans="1:12" x14ac:dyDescent="0.25">
      <c r="A8" s="33"/>
      <c r="B8" s="34"/>
      <c r="C8" s="35"/>
      <c r="D8" s="36"/>
      <c r="E8" s="34"/>
      <c r="F8" s="37" t="s">
        <v>18</v>
      </c>
      <c r="G8" s="37"/>
      <c r="H8" s="38">
        <f>SUM(H6:H7)</f>
        <v>2190.375</v>
      </c>
      <c r="I8" s="39" t="s">
        <v>16</v>
      </c>
      <c r="J8" s="40"/>
      <c r="K8" s="41">
        <f>0</f>
        <v>0</v>
      </c>
      <c r="L8" s="42"/>
    </row>
    <row r="9" spans="1:12" ht="31.5" x14ac:dyDescent="0.25">
      <c r="A9" s="43"/>
      <c r="B9" s="44"/>
      <c r="C9" s="45"/>
      <c r="D9" s="46"/>
      <c r="E9" s="47" t="s">
        <v>19</v>
      </c>
      <c r="F9" s="47"/>
      <c r="G9" s="47"/>
      <c r="H9" s="48">
        <f>ROUND(H8*0.0283,3)</f>
        <v>61.988</v>
      </c>
      <c r="I9" s="49" t="s">
        <v>20</v>
      </c>
      <c r="J9" s="40" t="s">
        <v>21</v>
      </c>
      <c r="K9" s="50">
        <f>IF(B5="4.14.1",IF(J9="Labour Rate",20,IF(J9="Machinery Rate",63,IF(J9="Through Rate",83,0))),"")</f>
        <v>83</v>
      </c>
      <c r="L9" s="51">
        <f>IF(H9*K9&lt;&gt;0,H9*K9,0)</f>
        <v>5145.0039999999999</v>
      </c>
    </row>
    <row r="10" spans="1:12" ht="14.1" customHeight="1" x14ac:dyDescent="0.25">
      <c r="A10" s="52"/>
      <c r="B10" s="53"/>
      <c r="C10" s="54"/>
      <c r="D10" s="55"/>
      <c r="E10" s="53"/>
      <c r="F10" s="56"/>
      <c r="G10" s="57"/>
      <c r="H10" s="48"/>
      <c r="I10" s="58"/>
      <c r="J10" s="40"/>
      <c r="K10" s="50"/>
      <c r="L10" s="59"/>
    </row>
    <row r="11" spans="1:12" ht="76.5" x14ac:dyDescent="0.25">
      <c r="A11" s="11">
        <f>IFERROR(LOOKUP(2,1/(ISNUMBER($A$4:$A$10)),$A$4:$A$10),0)+1</f>
        <v>2</v>
      </c>
      <c r="B11" s="12" t="s">
        <v>22</v>
      </c>
      <c r="C11" s="13" t="s">
        <v>23</v>
      </c>
      <c r="D11" s="14"/>
      <c r="E11" s="15"/>
      <c r="F11" s="15"/>
      <c r="G11" s="15"/>
      <c r="H11" s="17"/>
      <c r="I11" s="18"/>
      <c r="J11" s="60"/>
      <c r="K11" s="61"/>
      <c r="L11" s="62"/>
    </row>
    <row r="12" spans="1:12" x14ac:dyDescent="0.25">
      <c r="A12" s="11"/>
      <c r="B12" s="12"/>
      <c r="C12" s="13"/>
      <c r="D12" s="24">
        <v>2</v>
      </c>
      <c r="E12" s="25">
        <f>(2.75-1.125)+70</f>
        <v>71.625</v>
      </c>
      <c r="F12" s="26">
        <v>3</v>
      </c>
      <c r="G12" s="27">
        <v>0.75</v>
      </c>
      <c r="H12" s="28">
        <f>D12*IF(OR(E12=0,E12="-"),1,E12)*IF(OR(F12=0,F12="-"),1,F12)*IF(OR(G12=0,G12="-"),1,G12)</f>
        <v>322.3125</v>
      </c>
      <c r="I12" s="29" t="s">
        <v>16</v>
      </c>
      <c r="J12" s="30"/>
      <c r="K12" s="63"/>
      <c r="L12" s="64"/>
    </row>
    <row r="13" spans="1:12" x14ac:dyDescent="0.25">
      <c r="A13" s="11"/>
      <c r="B13" s="22"/>
      <c r="C13" s="23"/>
      <c r="D13" s="24">
        <v>3</v>
      </c>
      <c r="E13" s="25">
        <v>33.375</v>
      </c>
      <c r="F13" s="26">
        <v>3</v>
      </c>
      <c r="G13" s="27">
        <v>0.75</v>
      </c>
      <c r="H13" s="28">
        <f>D13*IF(OR(E13=0,E13="-"),1,E13)*IF(OR(F13=0,F13="-"),1,F13)*IF(OR(G13=0,G13="-"),1,G13)</f>
        <v>225.28125</v>
      </c>
      <c r="I13" s="29" t="s">
        <v>16</v>
      </c>
      <c r="J13" s="30"/>
      <c r="K13" s="63"/>
      <c r="L13" s="64"/>
    </row>
    <row r="14" spans="1:12" x14ac:dyDescent="0.25">
      <c r="A14" s="33"/>
      <c r="B14" s="34"/>
      <c r="C14" s="35"/>
      <c r="D14" s="36"/>
      <c r="E14" s="34"/>
      <c r="F14" s="37" t="s">
        <v>18</v>
      </c>
      <c r="G14" s="37"/>
      <c r="H14" s="38">
        <f>SUM(H12:H13)</f>
        <v>547.59375</v>
      </c>
      <c r="I14" s="39" t="s">
        <v>16</v>
      </c>
      <c r="J14" s="40"/>
      <c r="K14" s="65">
        <f>0</f>
        <v>0</v>
      </c>
      <c r="L14" s="66"/>
    </row>
    <row r="15" spans="1:12" ht="31.5" x14ac:dyDescent="0.25">
      <c r="A15" s="43"/>
      <c r="B15" s="44"/>
      <c r="C15" s="45"/>
      <c r="D15" s="46"/>
      <c r="E15" s="47" t="s">
        <v>19</v>
      </c>
      <c r="F15" s="47"/>
      <c r="G15" s="47"/>
      <c r="H15" s="48">
        <f>ROUND(H14*0.0283,3)</f>
        <v>15.497</v>
      </c>
      <c r="I15" s="67" t="s">
        <v>20</v>
      </c>
      <c r="J15" s="68" t="s">
        <v>21</v>
      </c>
      <c r="K15" s="69">
        <f>IF(B11="6.1.7",IF(J15="Labour Rate",474,IF(J15="Material Rate",1718,IF(J15="Through Rate",2192,0))),"")</f>
        <v>2192</v>
      </c>
      <c r="L15" s="51">
        <f>IF(H15*K15&lt;&gt;0,H15*K15,0)</f>
        <v>33969.423999999999</v>
      </c>
    </row>
    <row r="16" spans="1:12" ht="14.1" customHeight="1" x14ac:dyDescent="0.25">
      <c r="A16" s="52"/>
      <c r="B16" s="53"/>
      <c r="C16" s="54"/>
      <c r="D16" s="55"/>
      <c r="E16" s="55"/>
      <c r="F16" s="70"/>
      <c r="G16" s="57"/>
      <c r="H16" s="48"/>
      <c r="I16" s="71"/>
      <c r="J16" s="68"/>
      <c r="K16" s="69"/>
      <c r="L16" s="59"/>
    </row>
    <row r="17" spans="1:12" ht="51" x14ac:dyDescent="0.25">
      <c r="A17" s="11">
        <f>IFERROR(LOOKUP(2,1/(ISNUMBER($A$4:$A$16)),$A$4:$A$16),0)+1</f>
        <v>3</v>
      </c>
      <c r="B17" s="12" t="s">
        <v>24</v>
      </c>
      <c r="C17" s="13" t="s">
        <v>25</v>
      </c>
      <c r="D17" s="14"/>
      <c r="E17" s="15"/>
      <c r="F17" s="15"/>
      <c r="G17" s="16"/>
      <c r="H17" s="17"/>
      <c r="I17" s="18"/>
      <c r="J17" s="19"/>
      <c r="K17" s="20"/>
      <c r="L17" s="21"/>
    </row>
    <row r="18" spans="1:12" x14ac:dyDescent="0.25">
      <c r="A18" s="11"/>
      <c r="B18" s="22"/>
      <c r="C18" s="23"/>
      <c r="D18" s="24">
        <v>2</v>
      </c>
      <c r="E18" s="25">
        <f>(2.25-1.125)+70</f>
        <v>71.125</v>
      </c>
      <c r="F18" s="24">
        <v>2.25</v>
      </c>
      <c r="G18" s="72">
        <v>0.75</v>
      </c>
      <c r="H18" s="73">
        <f>D18*IF(OR(E18=0,E18="-"),1,E18)*IF(OR(F18=0,F18="-"),1,F18)*IF(OR(G18=0,G18="-"),1,G18)</f>
        <v>240.046875</v>
      </c>
      <c r="I18" s="74" t="s">
        <v>16</v>
      </c>
      <c r="J18" s="75"/>
      <c r="K18" s="31"/>
      <c r="L18" s="32"/>
    </row>
    <row r="19" spans="1:12" x14ac:dyDescent="0.25">
      <c r="A19" s="11"/>
      <c r="B19" s="22"/>
      <c r="C19" s="23"/>
      <c r="D19" s="24">
        <v>2</v>
      </c>
      <c r="E19" s="25">
        <f>(1.875-1.125)+70</f>
        <v>70.75</v>
      </c>
      <c r="F19" s="24">
        <v>1.875</v>
      </c>
      <c r="G19" s="72">
        <v>0.75</v>
      </c>
      <c r="H19" s="73">
        <f>D19*IF(OR(E19=0,E19="-"),1,E19)*IF(OR(F19=0,F19="-"),1,F19)*IF(OR(G19=0,G19="-"),1,G19)</f>
        <v>198.984375</v>
      </c>
      <c r="I19" s="74" t="s">
        <v>16</v>
      </c>
      <c r="J19" s="75"/>
      <c r="K19" s="31"/>
      <c r="L19" s="32"/>
    </row>
    <row r="20" spans="1:12" x14ac:dyDescent="0.25">
      <c r="A20" s="11"/>
      <c r="B20" s="22"/>
      <c r="C20" s="23"/>
      <c r="D20" s="24">
        <v>2</v>
      </c>
      <c r="E20" s="25">
        <f>E19-0.375</f>
        <v>70.375</v>
      </c>
      <c r="F20" s="24">
        <v>1.5</v>
      </c>
      <c r="G20" s="72">
        <v>0.75</v>
      </c>
      <c r="H20" s="73">
        <f>D20*IF(OR(E20=0,E20="-"),1,E20)*IF(OR(F20=0,F20="-"),1,F20)*IF(OR(G20=0,G20="-"),1,G20)</f>
        <v>158.34375</v>
      </c>
      <c r="I20" s="74" t="s">
        <v>16</v>
      </c>
      <c r="J20" s="75"/>
      <c r="K20" s="31"/>
      <c r="L20" s="32"/>
    </row>
    <row r="21" spans="1:12" x14ac:dyDescent="0.25">
      <c r="A21" s="11"/>
      <c r="B21" s="22"/>
      <c r="C21" s="23"/>
      <c r="D21" s="24">
        <v>2</v>
      </c>
      <c r="E21" s="25">
        <f>E20-0.375</f>
        <v>70</v>
      </c>
      <c r="F21" s="24">
        <v>1.125</v>
      </c>
      <c r="G21" s="72">
        <f>(6.5+2)/2</f>
        <v>4.25</v>
      </c>
      <c r="H21" s="73">
        <f>D21*IF(OR(E21=0,E21="-"),1,E21)*IF(OR(F21=0,F21="-"),1,F21)*IF(OR(G21=0,G21="-"),1,G21)</f>
        <v>669.375</v>
      </c>
      <c r="I21" s="74" t="s">
        <v>16</v>
      </c>
      <c r="J21" s="75"/>
      <c r="K21" s="31"/>
      <c r="L21" s="32"/>
    </row>
    <row r="22" spans="1:12" x14ac:dyDescent="0.25">
      <c r="A22" s="11"/>
      <c r="B22" s="22"/>
      <c r="C22" s="23"/>
      <c r="D22" s="24">
        <v>3</v>
      </c>
      <c r="E22" s="25">
        <v>33.875</v>
      </c>
      <c r="F22" s="24">
        <v>2.25</v>
      </c>
      <c r="G22" s="72">
        <v>0.5</v>
      </c>
      <c r="H22" s="73">
        <f>D22*IF(OR(E22=0,E22="-"),1,E22)*IF(OR(F22=0,F22="-"),1,F22)*IF(OR(G22=0,G22="-"),1,G22)</f>
        <v>114.328125</v>
      </c>
      <c r="I22" s="74" t="s">
        <v>16</v>
      </c>
      <c r="J22" s="75"/>
      <c r="K22" s="31"/>
      <c r="L22" s="32"/>
    </row>
    <row r="23" spans="1:12" x14ac:dyDescent="0.25">
      <c r="A23" s="11"/>
      <c r="B23" s="22"/>
      <c r="C23" s="23"/>
      <c r="D23" s="24">
        <v>3</v>
      </c>
      <c r="E23" s="25">
        <f>E22+0.375</f>
        <v>34.25</v>
      </c>
      <c r="F23" s="24">
        <v>1.875</v>
      </c>
      <c r="G23" s="72">
        <v>0.5</v>
      </c>
      <c r="H23" s="73">
        <f>D23*IF(OR(E23=0,E23="-"),1,E23)*IF(OR(F23=0,F23="-"),1,F23)*IF(OR(G23=0,G23="-"),1,G23)</f>
        <v>96.328125</v>
      </c>
      <c r="I23" s="74" t="s">
        <v>16</v>
      </c>
      <c r="J23" s="75"/>
      <c r="K23" s="31"/>
      <c r="L23" s="32"/>
    </row>
    <row r="24" spans="1:12" x14ac:dyDescent="0.25">
      <c r="A24" s="11"/>
      <c r="B24" s="22"/>
      <c r="C24" s="23"/>
      <c r="D24" s="24">
        <v>3</v>
      </c>
      <c r="E24" s="25">
        <f>E23+0.375</f>
        <v>34.625</v>
      </c>
      <c r="F24" s="24">
        <v>1.5</v>
      </c>
      <c r="G24" s="72">
        <v>0.5</v>
      </c>
      <c r="H24" s="73">
        <f>D24*IF(OR(E24=0,E24="-"),1,E24)*IF(OR(F24=0,F24="-"),1,F24)*IF(OR(G24=0,G24="-"),1,G24)</f>
        <v>77.90625</v>
      </c>
      <c r="I24" s="74" t="s">
        <v>16</v>
      </c>
      <c r="J24" s="75"/>
      <c r="K24" s="31"/>
      <c r="L24" s="32"/>
    </row>
    <row r="25" spans="1:12" x14ac:dyDescent="0.25">
      <c r="A25" s="11"/>
      <c r="B25" s="22"/>
      <c r="C25" s="23"/>
      <c r="D25" s="24">
        <v>3</v>
      </c>
      <c r="E25" s="25">
        <f>E24+0.375</f>
        <v>35</v>
      </c>
      <c r="F25" s="24">
        <v>1.125</v>
      </c>
      <c r="G25" s="72">
        <v>1.5</v>
      </c>
      <c r="H25" s="73">
        <f>D25*IF(OR(E25=0,E25="-"),1,E25)*IF(OR(F25=0,F25="-"),1,F25)*IF(OR(G25=0,G25="-"),1,G25)</f>
        <v>177.1875</v>
      </c>
      <c r="I25" s="74" t="s">
        <v>16</v>
      </c>
      <c r="J25" s="75"/>
      <c r="K25" s="31"/>
      <c r="L25" s="32"/>
    </row>
    <row r="26" spans="1:12" x14ac:dyDescent="0.25">
      <c r="A26" s="33"/>
      <c r="B26" s="34"/>
      <c r="C26" s="35"/>
      <c r="D26" s="36"/>
      <c r="E26" s="36"/>
      <c r="F26" s="76" t="s">
        <v>18</v>
      </c>
      <c r="G26" s="76"/>
      <c r="H26" s="38">
        <f>SUM(H18:H25)</f>
        <v>1732.5</v>
      </c>
      <c r="I26" s="77" t="s">
        <v>16</v>
      </c>
      <c r="J26" s="68"/>
      <c r="K26" s="41">
        <f>0</f>
        <v>0</v>
      </c>
      <c r="L26" s="66"/>
    </row>
    <row r="27" spans="1:12" ht="47.25" x14ac:dyDescent="0.25">
      <c r="A27" s="43"/>
      <c r="B27" s="44"/>
      <c r="C27" s="45"/>
      <c r="D27" s="46"/>
      <c r="E27" s="47" t="s">
        <v>19</v>
      </c>
      <c r="F27" s="47"/>
      <c r="G27" s="47"/>
      <c r="H27" s="48">
        <f>ROUND(H26*0.0283,3)</f>
        <v>49.03</v>
      </c>
      <c r="I27" s="67" t="s">
        <v>20</v>
      </c>
      <c r="J27" s="68" t="s">
        <v>26</v>
      </c>
      <c r="K27" s="69">
        <f>IF(B17="7.21.2",IF(J27="Labour Rate Amnd",823,IF(J27="Material Rate Amnd",3144,IF(J27="Through Rate Amnd",3968,IF(J27="Labour Rate",387,IF(J27="Material Rate",3144,IF(J27="Through Rate",3531,0)))))),"")</f>
        <v>3968</v>
      </c>
      <c r="L27" s="51">
        <f>IF(H27*K27&lt;&gt;0,H27*K27,0)</f>
        <v>194551.04000000001</v>
      </c>
    </row>
    <row r="28" spans="1:12" ht="14.1" customHeight="1" x14ac:dyDescent="0.25">
      <c r="A28" s="52"/>
      <c r="B28" s="53"/>
      <c r="C28" s="54"/>
      <c r="D28" s="55"/>
      <c r="E28" s="55"/>
      <c r="F28" s="70"/>
      <c r="G28" s="57"/>
      <c r="H28" s="78"/>
      <c r="I28" s="71"/>
      <c r="J28" s="68"/>
      <c r="K28" s="69"/>
      <c r="L28" s="79"/>
    </row>
    <row r="29" spans="1:12" ht="108" x14ac:dyDescent="0.25">
      <c r="A29" s="11">
        <f>IFERROR(LOOKUP(2,1/(ISNUMBER($A$4:$A$28)),$A$4:$A$28),0)+1</f>
        <v>4</v>
      </c>
      <c r="B29" s="12" t="s">
        <v>27</v>
      </c>
      <c r="C29" s="80" t="s">
        <v>28</v>
      </c>
      <c r="D29" s="14"/>
      <c r="E29" s="15"/>
      <c r="F29" s="81"/>
      <c r="G29" s="82"/>
      <c r="H29" s="83"/>
      <c r="I29" s="84"/>
      <c r="J29" s="85"/>
      <c r="K29" s="86"/>
      <c r="L29" s="62"/>
    </row>
    <row r="30" spans="1:12" x14ac:dyDescent="0.25">
      <c r="A30" s="11"/>
      <c r="B30" s="22"/>
      <c r="C30" s="23"/>
      <c r="D30" s="24">
        <v>1</v>
      </c>
      <c r="E30" s="24">
        <v>35</v>
      </c>
      <c r="F30" s="87">
        <v>70</v>
      </c>
      <c r="G30" s="88">
        <v>3</v>
      </c>
      <c r="H30" s="48">
        <f>D30*IF(OR(E30=0,E30="-"),1,E30)*IF(OR(F30=0,F30="-"),1,F30)*IF(OR(G30=0,G30="-"),1,G30)</f>
        <v>7350</v>
      </c>
      <c r="I30" s="74" t="s">
        <v>16</v>
      </c>
      <c r="J30" s="68"/>
      <c r="K30" s="69"/>
      <c r="L30" s="64"/>
    </row>
    <row r="31" spans="1:12" x14ac:dyDescent="0.25">
      <c r="A31" s="33"/>
      <c r="B31" s="34"/>
      <c r="C31" s="35"/>
      <c r="D31" s="36"/>
      <c r="E31" s="36"/>
      <c r="F31" s="76" t="s">
        <v>18</v>
      </c>
      <c r="G31" s="76"/>
      <c r="H31" s="78">
        <f>SUM(H30:H30)</f>
        <v>7350</v>
      </c>
      <c r="I31" s="77" t="s">
        <v>16</v>
      </c>
      <c r="J31" s="68"/>
      <c r="K31" s="65">
        <f>0</f>
        <v>0</v>
      </c>
      <c r="L31" s="42"/>
    </row>
    <row r="32" spans="1:12" ht="31.5" x14ac:dyDescent="0.25">
      <c r="A32" s="43"/>
      <c r="B32" s="44"/>
      <c r="C32" s="45"/>
      <c r="D32" s="46"/>
      <c r="E32" s="89" t="s">
        <v>19</v>
      </c>
      <c r="F32" s="89"/>
      <c r="G32" s="89"/>
      <c r="H32" s="48">
        <f>ROUND(H31*0.0283,3)</f>
        <v>208.005</v>
      </c>
      <c r="I32" s="67" t="s">
        <v>20</v>
      </c>
      <c r="J32" s="68" t="s">
        <v>21</v>
      </c>
      <c r="K32" s="69">
        <f>IF(B29="4.37",IF(J32="Labour Rate",70,IF(J32="Through Rate",70,0)),"")</f>
        <v>70</v>
      </c>
      <c r="L32" s="90">
        <f>IF(H32*K32&lt;&gt;0,H32*K32,0)</f>
        <v>14560.35</v>
      </c>
    </row>
    <row r="33" spans="1:12" ht="14.1" customHeight="1" x14ac:dyDescent="0.25">
      <c r="A33" s="52"/>
      <c r="B33" s="53"/>
      <c r="C33" s="54"/>
      <c r="D33" s="55"/>
      <c r="E33" s="55"/>
      <c r="F33" s="70"/>
      <c r="G33" s="57"/>
      <c r="H33" s="78"/>
      <c r="I33" s="71"/>
      <c r="J33" s="68"/>
      <c r="K33" s="69"/>
      <c r="L33" s="79"/>
    </row>
    <row r="34" spans="1:12" ht="49.5" x14ac:dyDescent="0.25">
      <c r="A34" s="11">
        <f>IFERROR(LOOKUP(2,1/(ISNUMBER($A$4:$A$33)),$A$4:$A$33),0)+1</f>
        <v>5</v>
      </c>
      <c r="B34" s="12" t="s">
        <v>29</v>
      </c>
      <c r="C34" s="91" t="s">
        <v>30</v>
      </c>
      <c r="D34" s="14"/>
      <c r="E34" s="15"/>
      <c r="F34" s="81"/>
      <c r="G34" s="82"/>
      <c r="H34" s="83"/>
      <c r="I34" s="84"/>
      <c r="J34" s="85"/>
      <c r="K34" s="86"/>
      <c r="L34" s="62"/>
    </row>
    <row r="35" spans="1:12" x14ac:dyDescent="0.25">
      <c r="A35" s="11"/>
      <c r="B35" s="22"/>
      <c r="C35" s="23"/>
      <c r="D35" s="24">
        <v>1</v>
      </c>
      <c r="E35" s="24">
        <v>35</v>
      </c>
      <c r="F35" s="87">
        <v>70</v>
      </c>
      <c r="G35" s="88">
        <v>0.33300000000000002</v>
      </c>
      <c r="H35" s="48">
        <f>D35*IF(OR(E35=0,E35="-"),1,E35)*IF(OR(F35=0,F35="-"),1,F35)*IF(OR(G35=0,G35="-"),1,G35)</f>
        <v>815.85</v>
      </c>
      <c r="I35" s="74" t="s">
        <v>16</v>
      </c>
      <c r="J35" s="68"/>
      <c r="K35" s="69"/>
      <c r="L35" s="64"/>
    </row>
    <row r="36" spans="1:12" x14ac:dyDescent="0.25">
      <c r="A36" s="11"/>
      <c r="B36" s="22"/>
      <c r="C36" s="23" t="s">
        <v>31</v>
      </c>
      <c r="D36" s="24">
        <v>-3</v>
      </c>
      <c r="E36" s="24">
        <v>35</v>
      </c>
      <c r="F36" s="87">
        <v>1.125</v>
      </c>
      <c r="G36" s="88">
        <v>0.33300000000000002</v>
      </c>
      <c r="H36" s="48">
        <f>D36*IF(OR(E36=0,E36="-"),1,E36)*IF(OR(F36=0,F36="-"),1,F36)*IF(OR(G36=0,G36="-"),1,G36)</f>
        <v>-39.335625</v>
      </c>
      <c r="I36" s="74" t="s">
        <v>16</v>
      </c>
      <c r="J36" s="68"/>
      <c r="K36" s="69"/>
      <c r="L36" s="64"/>
    </row>
    <row r="37" spans="1:12" x14ac:dyDescent="0.25">
      <c r="A37" s="33"/>
      <c r="B37" s="34"/>
      <c r="C37" s="35"/>
      <c r="D37" s="36"/>
      <c r="E37" s="36"/>
      <c r="F37" s="92" t="s">
        <v>18</v>
      </c>
      <c r="G37" s="92"/>
      <c r="H37" s="78">
        <f>SUM(H35:H36)</f>
        <v>776.51437499999997</v>
      </c>
      <c r="I37" s="77" t="s">
        <v>16</v>
      </c>
      <c r="J37" s="68"/>
      <c r="K37" s="65">
        <f>0</f>
        <v>0</v>
      </c>
      <c r="L37" s="42"/>
    </row>
    <row r="38" spans="1:12" ht="31.5" x14ac:dyDescent="0.25">
      <c r="A38" s="43"/>
      <c r="B38" s="44"/>
      <c r="C38" s="45"/>
      <c r="D38" s="46"/>
      <c r="E38" s="89" t="s">
        <v>19</v>
      </c>
      <c r="F38" s="89"/>
      <c r="G38" s="89"/>
      <c r="H38" s="48">
        <f>ROUND(H37*0.0283,3)</f>
        <v>21.975000000000001</v>
      </c>
      <c r="I38" s="67" t="s">
        <v>20</v>
      </c>
      <c r="J38" s="68" t="s">
        <v>21</v>
      </c>
      <c r="K38" s="69">
        <f>IF(B34="10.100.2",IF(J38="Labour Rate",274,IF(J38="Material Rate",1588,IF(J38="Through Rate",1863,0))),"")</f>
        <v>1863</v>
      </c>
      <c r="L38" s="90">
        <f>IF(H38*K38&lt;&gt;0,H38*K38,0)</f>
        <v>40939.425000000003</v>
      </c>
    </row>
    <row r="39" spans="1:12" ht="14.1" customHeight="1" x14ac:dyDescent="0.25">
      <c r="A39" s="52"/>
      <c r="B39" s="53"/>
      <c r="C39" s="54"/>
      <c r="D39" s="55"/>
      <c r="E39" s="55"/>
      <c r="F39" s="70"/>
      <c r="G39" s="57"/>
      <c r="H39" s="78"/>
      <c r="I39" s="71"/>
      <c r="J39" s="68"/>
      <c r="K39" s="69"/>
      <c r="L39" s="79"/>
    </row>
    <row r="40" spans="1:12" ht="78" x14ac:dyDescent="0.25">
      <c r="A40" s="11">
        <f>IFERROR(LOOKUP(2,1/(ISNUMBER($A$4:$A$39)),$A$4:$A$39),0)+1</f>
        <v>6</v>
      </c>
      <c r="B40" s="12" t="s">
        <v>32</v>
      </c>
      <c r="C40" s="80" t="s">
        <v>33</v>
      </c>
      <c r="D40" s="14"/>
      <c r="E40" s="15"/>
      <c r="F40" s="81"/>
      <c r="G40" s="82"/>
      <c r="H40" s="83"/>
      <c r="I40" s="84"/>
      <c r="J40" s="85"/>
      <c r="K40" s="86"/>
      <c r="L40" s="62"/>
    </row>
    <row r="41" spans="1:12" x14ac:dyDescent="0.25">
      <c r="A41" s="11"/>
      <c r="B41" s="22"/>
      <c r="C41" s="23"/>
      <c r="D41" s="24">
        <v>1</v>
      </c>
      <c r="E41" s="24">
        <v>35</v>
      </c>
      <c r="F41" s="87">
        <v>70</v>
      </c>
      <c r="G41" s="88"/>
      <c r="H41" s="48">
        <f>D41*IF(OR(E41=0,E41="-"),1,E41)*IF(OR(F41=0,F41="-"),1,F41)*IF(OR(G41=0,G41="-"),1,G41)</f>
        <v>2450</v>
      </c>
      <c r="I41" s="74" t="s">
        <v>34</v>
      </c>
      <c r="J41" s="68"/>
      <c r="K41" s="69"/>
      <c r="L41" s="64"/>
    </row>
    <row r="42" spans="1:12" x14ac:dyDescent="0.25">
      <c r="A42" s="11"/>
      <c r="B42" s="22"/>
      <c r="C42" s="23"/>
      <c r="D42" s="24">
        <v>-3</v>
      </c>
      <c r="E42" s="24">
        <v>35</v>
      </c>
      <c r="F42" s="87">
        <v>1.125</v>
      </c>
      <c r="G42" s="88"/>
      <c r="H42" s="48">
        <f>D42*IF(OR(E42=0,E42="-"),1,E42)*IF(OR(F42=0,F42="-"),1,F42)*IF(OR(G42=0,G42="-"),1,G42)</f>
        <v>-118.125</v>
      </c>
      <c r="I42" s="74" t="s">
        <v>34</v>
      </c>
      <c r="J42" s="68"/>
      <c r="K42" s="69"/>
      <c r="L42" s="64"/>
    </row>
    <row r="43" spans="1:12" x14ac:dyDescent="0.25">
      <c r="A43" s="33"/>
      <c r="B43" s="34"/>
      <c r="C43" s="35"/>
      <c r="D43" s="36"/>
      <c r="E43" s="36"/>
      <c r="F43" s="92" t="s">
        <v>35</v>
      </c>
      <c r="G43" s="92"/>
      <c r="H43" s="78">
        <f>SUM(H41:H42)</f>
        <v>2331.875</v>
      </c>
      <c r="I43" s="77" t="s">
        <v>34</v>
      </c>
      <c r="J43" s="68"/>
      <c r="K43" s="65">
        <f>0</f>
        <v>0</v>
      </c>
      <c r="L43" s="42"/>
    </row>
    <row r="44" spans="1:12" ht="31.5" x14ac:dyDescent="0.25">
      <c r="A44" s="43"/>
      <c r="B44" s="44"/>
      <c r="C44" s="45"/>
      <c r="D44" s="46"/>
      <c r="E44" s="89" t="s">
        <v>36</v>
      </c>
      <c r="F44" s="89"/>
      <c r="G44" s="89"/>
      <c r="H44" s="48">
        <f>ROUND(H43*0.0929,3)</f>
        <v>216.631</v>
      </c>
      <c r="I44" s="67" t="s">
        <v>37</v>
      </c>
      <c r="J44" s="68" t="s">
        <v>21</v>
      </c>
      <c r="K44" s="69">
        <f>IF(B40="10.33.1",IF(J44="Labour Rate",104,IF(J44="Material Rate",473,IF(J44="Through Rate",577,0))),"")</f>
        <v>577</v>
      </c>
      <c r="L44" s="90">
        <f>IF(H44*K44&lt;&gt;0,H44*K44,0)</f>
        <v>124996.087</v>
      </c>
    </row>
    <row r="45" spans="1:12" ht="14.1" customHeight="1" x14ac:dyDescent="0.25">
      <c r="A45" s="52"/>
      <c r="B45" s="53"/>
      <c r="C45" s="54"/>
      <c r="D45" s="55"/>
      <c r="E45" s="55"/>
      <c r="F45" s="70"/>
      <c r="G45" s="57"/>
      <c r="H45" s="78"/>
      <c r="I45" s="71"/>
      <c r="J45" s="68"/>
      <c r="K45" s="69"/>
      <c r="L45" s="79"/>
    </row>
    <row r="46" spans="1:12" ht="40.5" x14ac:dyDescent="0.25">
      <c r="A46" s="11">
        <f>IFERROR(LOOKUP(2,1/(ISNUMBER($A$4:$A$45)),$A$4:$A$45),0)+1</f>
        <v>7</v>
      </c>
      <c r="B46" s="12" t="s">
        <v>38</v>
      </c>
      <c r="C46" s="80" t="s">
        <v>39</v>
      </c>
      <c r="D46" s="14"/>
      <c r="E46" s="15"/>
      <c r="F46" s="15"/>
      <c r="G46" s="16"/>
      <c r="H46" s="17"/>
      <c r="I46" s="84"/>
      <c r="J46" s="93"/>
      <c r="K46" s="86"/>
      <c r="L46" s="62"/>
    </row>
    <row r="47" spans="1:12" x14ac:dyDescent="0.25">
      <c r="A47" s="11"/>
      <c r="B47" s="22"/>
      <c r="C47" s="23"/>
      <c r="D47" s="24">
        <v>2</v>
      </c>
      <c r="E47" s="24">
        <v>70</v>
      </c>
      <c r="F47" s="24">
        <v>1.125</v>
      </c>
      <c r="G47" s="72"/>
      <c r="H47" s="73">
        <f>D47*IF(OR(E47=0,E47="-"),1,E47)*IF(OR(F47=0,F47="-"),1,F47)*IF(OR(G47=0,G47="-"),1,G47)</f>
        <v>157.5</v>
      </c>
      <c r="I47" s="74" t="s">
        <v>34</v>
      </c>
      <c r="J47" s="75"/>
      <c r="K47" s="69"/>
      <c r="L47" s="64"/>
    </row>
    <row r="48" spans="1:12" x14ac:dyDescent="0.25">
      <c r="A48" s="11"/>
      <c r="B48" s="22"/>
      <c r="C48" s="23"/>
      <c r="D48" s="24">
        <v>3</v>
      </c>
      <c r="E48" s="24">
        <v>35</v>
      </c>
      <c r="F48" s="24">
        <v>1.125</v>
      </c>
      <c r="G48" s="72"/>
      <c r="H48" s="73">
        <f>D48*IF(OR(E48=0,E48="-"),1,E48)*IF(OR(F48=0,F48="-"),1,F48)*IF(OR(G48=0,G48="-"),1,G48)</f>
        <v>118.125</v>
      </c>
      <c r="I48" s="74" t="s">
        <v>34</v>
      </c>
      <c r="J48" s="75"/>
      <c r="K48" s="69"/>
      <c r="L48" s="64"/>
    </row>
    <row r="49" spans="1:13" x14ac:dyDescent="0.25">
      <c r="A49" s="33"/>
      <c r="B49" s="34"/>
      <c r="C49" s="35"/>
      <c r="D49" s="36"/>
      <c r="E49" s="36"/>
      <c r="F49" s="94" t="s">
        <v>35</v>
      </c>
      <c r="G49" s="94"/>
      <c r="H49" s="95">
        <f>SUM(H47:H48)</f>
        <v>275.625</v>
      </c>
      <c r="I49" s="77" t="s">
        <v>34</v>
      </c>
      <c r="J49" s="68"/>
      <c r="K49" s="65">
        <f>0</f>
        <v>0</v>
      </c>
      <c r="L49" s="66"/>
    </row>
    <row r="50" spans="1:13" ht="31.5" x14ac:dyDescent="0.25">
      <c r="A50" s="43"/>
      <c r="B50" s="44"/>
      <c r="C50" s="45"/>
      <c r="D50" s="46"/>
      <c r="E50" s="47" t="s">
        <v>36</v>
      </c>
      <c r="F50" s="47"/>
      <c r="G50" s="47"/>
      <c r="H50" s="48">
        <f>ROUND(H49*0.0929,3)</f>
        <v>25.606000000000002</v>
      </c>
      <c r="I50" s="67" t="s">
        <v>37</v>
      </c>
      <c r="J50" s="68" t="s">
        <v>21</v>
      </c>
      <c r="K50" s="69">
        <f>IF(B46="10.7",IF(J50="Labour Rate",77,IF(J50="Material Rate",139,IF(J50="Through Rate",216,0))),"")</f>
        <v>216</v>
      </c>
      <c r="L50" s="51">
        <f>IF(H50*K50&lt;&gt;0,H50*K50,0)</f>
        <v>5530.8960000000006</v>
      </c>
    </row>
    <row r="51" spans="1:13" ht="14.1" customHeight="1" x14ac:dyDescent="0.25">
      <c r="A51" s="52"/>
      <c r="B51" s="53"/>
      <c r="C51" s="54"/>
      <c r="D51" s="55"/>
      <c r="E51" s="55"/>
      <c r="F51" s="70"/>
      <c r="G51" s="57"/>
      <c r="H51" s="78"/>
      <c r="I51" s="71"/>
      <c r="J51" s="68"/>
      <c r="K51" s="69"/>
      <c r="L51" s="79"/>
    </row>
    <row r="52" spans="1:13" ht="90" x14ac:dyDescent="0.25">
      <c r="A52" s="11">
        <f>IFERROR(LOOKUP(2,1/(ISNUMBER($A$4:$A$51)),$A$4:$A$51),0)+1</f>
        <v>8</v>
      </c>
      <c r="B52" s="96" t="s">
        <v>40</v>
      </c>
      <c r="C52" s="80" t="s">
        <v>41</v>
      </c>
      <c r="D52" s="14"/>
      <c r="E52" s="15"/>
      <c r="F52" s="81"/>
      <c r="G52" s="97"/>
      <c r="H52" s="98"/>
      <c r="I52" s="84"/>
      <c r="J52" s="93"/>
      <c r="K52" s="86"/>
      <c r="L52" s="62"/>
    </row>
    <row r="53" spans="1:13" ht="18.75" x14ac:dyDescent="0.25">
      <c r="A53" s="11"/>
      <c r="B53" s="99"/>
      <c r="C53" s="100"/>
      <c r="D53" s="101">
        <v>1</v>
      </c>
      <c r="E53" s="101">
        <v>40</v>
      </c>
      <c r="F53" s="102">
        <v>5</v>
      </c>
      <c r="G53" s="101">
        <v>0.75</v>
      </c>
      <c r="H53" s="103">
        <f>D53*IF(OR(E53=0,E53="-"),1,E53)*IF(OR(F53=0,F53="-"),1,F53)*IF(OR(G53=0,G53="-"),1,G53)</f>
        <v>150</v>
      </c>
      <c r="I53" s="104" t="s">
        <v>16</v>
      </c>
      <c r="J53" s="105"/>
      <c r="K53" s="106"/>
      <c r="L53" s="107"/>
    </row>
    <row r="54" spans="1:13" ht="18.75" x14ac:dyDescent="0.25">
      <c r="A54" s="33"/>
      <c r="B54" s="108"/>
      <c r="C54" s="109"/>
      <c r="D54" s="110"/>
      <c r="E54" s="110"/>
      <c r="F54" s="111" t="s">
        <v>18</v>
      </c>
      <c r="G54" s="111"/>
      <c r="H54" s="112">
        <f>SUM(H53:H53)</f>
        <v>150</v>
      </c>
      <c r="I54" s="113" t="s">
        <v>16</v>
      </c>
      <c r="J54" s="114"/>
      <c r="K54" s="115">
        <f>0</f>
        <v>0</v>
      </c>
      <c r="L54" s="116"/>
    </row>
    <row r="55" spans="1:13" ht="31.5" x14ac:dyDescent="0.25">
      <c r="A55" s="43"/>
      <c r="B55" s="117"/>
      <c r="C55" s="118"/>
      <c r="D55" s="119"/>
      <c r="E55" s="120" t="s">
        <v>19</v>
      </c>
      <c r="F55" s="120"/>
      <c r="G55" s="120"/>
      <c r="H55" s="121">
        <f>ROUND(H54*0.0283,3)</f>
        <v>4.2450000000000001</v>
      </c>
      <c r="I55" s="122" t="s">
        <v>20</v>
      </c>
      <c r="J55" s="114" t="s">
        <v>21</v>
      </c>
      <c r="K55" s="123">
        <f>IF(B52="6.14.1",IF(J55="Labour Rate",1172,IF(J55="Material Rate",3203,IF(J55="Through Rate",4374,0))),"")</f>
        <v>4374</v>
      </c>
      <c r="L55" s="124">
        <f>IF(H55*K55&lt;&gt;0,H55*K55,0)</f>
        <v>18567.63</v>
      </c>
    </row>
    <row r="56" spans="1:13" ht="14.1" customHeight="1" x14ac:dyDescent="0.25">
      <c r="A56" s="52"/>
      <c r="B56" s="53"/>
      <c r="C56" s="54"/>
      <c r="D56" s="55"/>
      <c r="E56" s="55"/>
      <c r="F56" s="70"/>
      <c r="G56" s="57"/>
      <c r="H56" s="78"/>
      <c r="I56" s="71"/>
      <c r="J56" s="68"/>
      <c r="K56" s="69"/>
      <c r="L56" s="79"/>
    </row>
    <row r="57" spans="1:13" ht="64.5" x14ac:dyDescent="0.25">
      <c r="A57" s="11">
        <f>IFERROR(LOOKUP(2,1/(ISNUMBER($A$4:$A$56)),$A$4:$A$56),0)+1</f>
        <v>9</v>
      </c>
      <c r="B57" s="12" t="s">
        <v>42</v>
      </c>
      <c r="C57" s="80" t="s">
        <v>43</v>
      </c>
      <c r="D57" s="14"/>
      <c r="E57" s="15"/>
      <c r="F57" s="81"/>
      <c r="G57" s="82"/>
      <c r="H57" s="83"/>
      <c r="I57" s="84"/>
      <c r="J57" s="85"/>
      <c r="K57" s="86"/>
      <c r="L57" s="62"/>
    </row>
    <row r="58" spans="1:13" x14ac:dyDescent="0.25">
      <c r="A58" s="11"/>
      <c r="B58" s="22"/>
      <c r="C58" s="23"/>
      <c r="D58" s="24">
        <v>2</v>
      </c>
      <c r="E58" s="24">
        <v>70</v>
      </c>
      <c r="F58" s="87">
        <v>4.25</v>
      </c>
      <c r="G58" s="88"/>
      <c r="H58" s="73">
        <f>D58*IF(OR(E58=0,E58="-"),1,E58)*IF(OR(F58=0,F58="-"),1,F58)*IF(OR(G58=0,G58="-"),1,G58)</f>
        <v>595</v>
      </c>
      <c r="I58" s="74" t="s">
        <v>34</v>
      </c>
      <c r="J58" s="75"/>
      <c r="K58" s="69"/>
      <c r="L58" s="64"/>
    </row>
    <row r="59" spans="1:13" x14ac:dyDescent="0.25">
      <c r="A59" s="33"/>
      <c r="B59" s="34"/>
      <c r="C59" s="35"/>
      <c r="D59" s="36"/>
      <c r="E59" s="36"/>
      <c r="F59" s="92" t="s">
        <v>35</v>
      </c>
      <c r="G59" s="92"/>
      <c r="H59" s="78">
        <f>SUM(H58:H58)</f>
        <v>595</v>
      </c>
      <c r="I59" s="77" t="s">
        <v>34</v>
      </c>
      <c r="J59" s="68"/>
      <c r="K59" s="65">
        <f>0</f>
        <v>0</v>
      </c>
      <c r="L59" s="42"/>
    </row>
    <row r="60" spans="1:13" s="126" customFormat="1" ht="47.25" x14ac:dyDescent="0.25">
      <c r="A60" s="43"/>
      <c r="B60" s="44"/>
      <c r="C60" s="45"/>
      <c r="D60" s="46"/>
      <c r="E60" s="89" t="s">
        <v>36</v>
      </c>
      <c r="F60" s="89"/>
      <c r="G60" s="89"/>
      <c r="H60" s="48">
        <f>ROUND(H59*0.0929,3)</f>
        <v>55.276000000000003</v>
      </c>
      <c r="I60" s="67" t="s">
        <v>37</v>
      </c>
      <c r="J60" s="68" t="s">
        <v>26</v>
      </c>
      <c r="K60" s="125">
        <f>IF(B57="11.12.2",IF(J60="Labour Rate Amnd",97,IF(J60="Material Rate Amnd",62,IF(J60="Through Rate Amnd",159,IF(J60="Labour Rate",68,IF(J60="Material Rate",62,IF(J60="Through Rate",129,0)))))),"")</f>
        <v>159</v>
      </c>
      <c r="L60" s="90">
        <f>IF(H60*K60&lt;&gt;0,H60*K60,0)</f>
        <v>8788.884</v>
      </c>
    </row>
    <row r="61" spans="1:13" s="126" customFormat="1" ht="14.1" customHeight="1" x14ac:dyDescent="0.25">
      <c r="A61" s="52"/>
      <c r="B61" s="53"/>
      <c r="C61" s="127"/>
      <c r="D61" s="128"/>
      <c r="E61" s="128"/>
      <c r="F61" s="128"/>
      <c r="G61" s="128"/>
      <c r="H61" s="48"/>
      <c r="I61" s="129"/>
      <c r="J61" s="68"/>
      <c r="K61" s="125"/>
      <c r="L61" s="130"/>
    </row>
    <row r="62" spans="1:13" s="126" customFormat="1" ht="64.5" x14ac:dyDescent="0.25">
      <c r="A62" s="11" t="s">
        <v>44</v>
      </c>
      <c r="B62" s="12" t="s">
        <v>45</v>
      </c>
      <c r="C62" s="131" t="s">
        <v>46</v>
      </c>
      <c r="D62" s="24">
        <v>2</v>
      </c>
      <c r="E62" s="24">
        <v>70</v>
      </c>
      <c r="F62" s="87">
        <v>4.25</v>
      </c>
      <c r="G62" s="132"/>
      <c r="H62" s="48">
        <f>D62*IF(OR(E62=0,E62="-"),1,E62)*IF(OR(F62=0,F62="-"),1,F62)*IF(OR(G62=0,G62="-"),1,G62)</f>
        <v>595</v>
      </c>
      <c r="I62" s="133" t="s">
        <v>34</v>
      </c>
      <c r="J62" s="68"/>
      <c r="K62" s="125"/>
      <c r="L62" s="134"/>
    </row>
    <row r="63" spans="1:13" s="126" customFormat="1" x14ac:dyDescent="0.25">
      <c r="A63" s="33"/>
      <c r="B63" s="34"/>
      <c r="C63" s="35"/>
      <c r="D63" s="36"/>
      <c r="E63" s="36"/>
      <c r="F63" s="94" t="s">
        <v>35</v>
      </c>
      <c r="G63" s="94"/>
      <c r="H63" s="48">
        <f>SUM(H62:H62)</f>
        <v>595</v>
      </c>
      <c r="I63" s="135" t="s">
        <v>34</v>
      </c>
      <c r="J63" s="68"/>
      <c r="K63" s="41">
        <f>0</f>
        <v>0</v>
      </c>
      <c r="L63" s="136"/>
    </row>
    <row r="64" spans="1:13" s="126" customFormat="1" ht="42.75" x14ac:dyDescent="0.25">
      <c r="A64" s="137" t="s">
        <v>44</v>
      </c>
      <c r="B64" s="44"/>
      <c r="C64" s="45"/>
      <c r="D64" s="46"/>
      <c r="E64" s="138" t="s">
        <v>36</v>
      </c>
      <c r="F64" s="138"/>
      <c r="G64" s="138"/>
      <c r="H64" s="139">
        <f>ROUND(H63*0.0929,3)</f>
        <v>55.276000000000003</v>
      </c>
      <c r="I64" s="140" t="s">
        <v>37</v>
      </c>
      <c r="J64" s="141" t="s">
        <v>26</v>
      </c>
      <c r="K64" s="142">
        <f>IF(B62="11.11.2",IF(J64="Labour Rate Amnd",81,IF(J64="Material Rate Amnd",54,IF(J64="Through Rate Amnd",135,IF(J64="Labour Rate",56,IF(J64="Material Rate",54,IF(J64="Through Rate",110,0)))))),"")</f>
        <v>135</v>
      </c>
      <c r="L64" s="143">
        <f>IF(H64*K64&lt;&gt;0,H64*K64,0)</f>
        <v>7462.26</v>
      </c>
      <c r="M64" s="144"/>
    </row>
    <row r="65" spans="1:13" ht="14.1" customHeight="1" thickBot="1" x14ac:dyDescent="0.3">
      <c r="A65" s="145"/>
      <c r="B65" s="146"/>
      <c r="C65" s="147"/>
      <c r="D65" s="147"/>
      <c r="E65" s="148"/>
      <c r="F65" s="148"/>
      <c r="G65" s="148"/>
      <c r="H65" s="149"/>
      <c r="I65" s="148"/>
      <c r="J65" s="150"/>
      <c r="K65" s="151"/>
      <c r="L65" s="152"/>
      <c r="M65"/>
    </row>
    <row r="66" spans="1:13" ht="16.5" thickTop="1" x14ac:dyDescent="0.25">
      <c r="E66"/>
      <c r="F66"/>
      <c r="G66"/>
      <c r="H66"/>
      <c r="I66"/>
      <c r="J66" s="154" t="s">
        <v>47</v>
      </c>
      <c r="K66" s="155"/>
      <c r="L66" s="156">
        <f>SUM(L5:INDEX(L:L,ROW()-1))</f>
        <v>454511.00000000006</v>
      </c>
      <c r="M66"/>
    </row>
    <row r="67" spans="1:13" x14ac:dyDescent="0.25">
      <c r="E67"/>
      <c r="F67"/>
      <c r="G67"/>
      <c r="H67"/>
      <c r="I67"/>
      <c r="J67" s="157" t="s">
        <v>48</v>
      </c>
      <c r="K67" s="158"/>
      <c r="L67" s="159">
        <f>$L$66*0.18</f>
        <v>81811.98000000001</v>
      </c>
      <c r="M67"/>
    </row>
    <row r="68" spans="1:13" ht="15.75" customHeight="1" x14ac:dyDescent="0.25">
      <c r="E68"/>
      <c r="F68"/>
      <c r="G68"/>
      <c r="H68"/>
      <c r="I68"/>
      <c r="J68" s="157" t="s">
        <v>49</v>
      </c>
      <c r="K68" s="158"/>
      <c r="L68" s="159">
        <f>$L$66+$L$67</f>
        <v>536322.9800000001</v>
      </c>
      <c r="M68"/>
    </row>
    <row r="69" spans="1:13" ht="15.75" customHeight="1" x14ac:dyDescent="0.25">
      <c r="E69"/>
      <c r="F69"/>
      <c r="G69"/>
      <c r="H69"/>
      <c r="I69"/>
      <c r="J69" s="157" t="s">
        <v>50</v>
      </c>
      <c r="K69" s="158"/>
      <c r="L69" s="159">
        <f>$L$68*0.01</f>
        <v>5363.229800000001</v>
      </c>
      <c r="M69"/>
    </row>
    <row r="70" spans="1:13" ht="39" customHeight="1" thickBot="1" x14ac:dyDescent="0.3">
      <c r="E70"/>
      <c r="F70"/>
      <c r="G70"/>
      <c r="H70"/>
      <c r="I70"/>
      <c r="J70" s="160" t="s">
        <v>51</v>
      </c>
      <c r="K70" s="161"/>
      <c r="L70" s="162">
        <f>$L$68+$L$69</f>
        <v>541686.20980000007</v>
      </c>
      <c r="M70"/>
    </row>
    <row r="71" spans="1:13" ht="15.75" customHeight="1" thickTop="1" x14ac:dyDescent="0.25">
      <c r="E71"/>
      <c r="F71"/>
      <c r="G71"/>
      <c r="H71"/>
      <c r="I71"/>
      <c r="J71" s="163" t="s">
        <v>52</v>
      </c>
      <c r="K71" s="164"/>
      <c r="L71" s="165"/>
      <c r="M71"/>
    </row>
    <row r="72" spans="1:13" ht="39" x14ac:dyDescent="0.25">
      <c r="E72"/>
      <c r="F72"/>
      <c r="G72"/>
      <c r="H72"/>
      <c r="I72" s="166" t="s">
        <v>53</v>
      </c>
      <c r="J72" s="167" t="str">
        <f>IF(L70&gt;=10000000,ROUND(L70/10000000,2)&amp;" Crore",IF(L70&gt;=100000,ROUND(L70/100000,2)&amp;" Lakh",IF(L70&gt;=1000,ROUND(L70/1000,2)&amp;" Thousand",ROUND(L70,0)))) &amp; " Only"</f>
        <v>5.42 Lakh Only</v>
      </c>
      <c r="K72" s="168"/>
      <c r="L72" s="168"/>
      <c r="M72"/>
    </row>
    <row r="73" spans="1:13" x14ac:dyDescent="0.25">
      <c r="E73"/>
      <c r="F73"/>
      <c r="G73"/>
      <c r="H73"/>
      <c r="I73"/>
      <c r="J73"/>
      <c r="K73"/>
      <c r="L73"/>
      <c r="M73"/>
    </row>
    <row r="74" spans="1:13" x14ac:dyDescent="0.25"/>
    <row r="75" spans="1:13" x14ac:dyDescent="0.25"/>
  </sheetData>
  <mergeCells count="21">
    <mergeCell ref="E60:G60"/>
    <mergeCell ref="F63:G63"/>
    <mergeCell ref="E64:G64"/>
    <mergeCell ref="E44:G44"/>
    <mergeCell ref="F49:G49"/>
    <mergeCell ref="E50:G50"/>
    <mergeCell ref="F54:G54"/>
    <mergeCell ref="E55:G55"/>
    <mergeCell ref="F59:G59"/>
    <mergeCell ref="E27:G27"/>
    <mergeCell ref="F31:G31"/>
    <mergeCell ref="E32:G32"/>
    <mergeCell ref="F37:G37"/>
    <mergeCell ref="E38:G38"/>
    <mergeCell ref="F43:G43"/>
    <mergeCell ref="A1:L3"/>
    <mergeCell ref="F8:G8"/>
    <mergeCell ref="E9:G9"/>
    <mergeCell ref="F14:G14"/>
    <mergeCell ref="E15:G15"/>
    <mergeCell ref="F26:G26"/>
  </mergeCells>
  <conditionalFormatting sqref="K63">
    <cfRule type="expression" dxfId="9" priority="1" stopIfTrue="1">
      <formula>AND(ISNUMBER(K63),K63&lt;&gt;0)</formula>
    </cfRule>
  </conditionalFormatting>
  <conditionalFormatting sqref="K59">
    <cfRule type="expression" dxfId="8" priority="2" stopIfTrue="1">
      <formula>AND(ISNUMBER(K59),K59&lt;&gt;0)</formula>
    </cfRule>
  </conditionalFormatting>
  <conditionalFormatting sqref="K54">
    <cfRule type="expression" dxfId="7" priority="3" stopIfTrue="1">
      <formula>AND(ISNUMBER(K54),K54&lt;&gt;0)</formula>
    </cfRule>
  </conditionalFormatting>
  <conditionalFormatting sqref="K49">
    <cfRule type="expression" dxfId="6" priority="4" stopIfTrue="1">
      <formula>AND(ISNUMBER(K49),K49&lt;&gt;0)</formula>
    </cfRule>
  </conditionalFormatting>
  <conditionalFormatting sqref="K43">
    <cfRule type="expression" dxfId="5" priority="5" stopIfTrue="1">
      <formula>AND(ISNUMBER(K43),K43&lt;&gt;0)</formula>
    </cfRule>
  </conditionalFormatting>
  <conditionalFormatting sqref="K37">
    <cfRule type="expression" dxfId="4" priority="6" stopIfTrue="1">
      <formula>AND(ISNUMBER(K37),K37&lt;&gt;0)</formula>
    </cfRule>
  </conditionalFormatting>
  <conditionalFormatting sqref="K31">
    <cfRule type="expression" dxfId="3" priority="7" stopIfTrue="1">
      <formula>AND(ISNUMBER(K31),K31&lt;&gt;0)</formula>
    </cfRule>
  </conditionalFormatting>
  <conditionalFormatting sqref="K26">
    <cfRule type="expression" dxfId="2" priority="8" stopIfTrue="1">
      <formula>AND(ISNUMBER(K26),K26&lt;&gt;0)</formula>
    </cfRule>
  </conditionalFormatting>
  <conditionalFormatting sqref="K14">
    <cfRule type="expression" dxfId="1" priority="9" stopIfTrue="1">
      <formula>AND(ISNUMBER(K14),K14&lt;&gt;0)</formula>
    </cfRule>
  </conditionalFormatting>
  <conditionalFormatting sqref="K8">
    <cfRule type="expression" dxfId="0" priority="10" stopIfTrue="1">
      <formula>AND(ISNUMBER(K8),K8&lt;&gt;0)</formula>
    </cfRule>
  </conditionalFormatting>
  <dataValidations count="4">
    <dataValidation type="list" allowBlank="1" showInputMessage="1" showErrorMessage="1" sqref="J9" xr:uid="{1468AD13-DB40-446D-8B12-7C1D258716EC}">
      <formula1>"Through Rate,Labour Rate,Machinery Rate"</formula1>
    </dataValidation>
    <dataValidation type="list" allowBlank="1" showInputMessage="1" showErrorMessage="1" sqref="J32" xr:uid="{ED020A5F-8009-469F-A5D7-4AE8577B1AA2}">
      <formula1>"Through Rate,Labour Rate"</formula1>
    </dataValidation>
    <dataValidation type="list" allowBlank="1" showInputMessage="1" showErrorMessage="1" sqref="J60:J62 J64 J27" xr:uid="{D67D64C6-7CDD-4A36-AABB-128C56BB4719}">
      <formula1>"Through Rate Amnd,Through Rate,Material Rate Amnd,Material Rate,Labour Rate Amnd,Labour Rate"</formula1>
    </dataValidation>
    <dataValidation type="list" allowBlank="1" showInputMessage="1" showErrorMessage="1" sqref="J44 J38 J55 J50 J15" xr:uid="{296E771E-BBCD-47C9-9448-9B1E72C89D86}">
      <formula1>"Through Rate,Material Rate,Labour Rate"</formula1>
    </dataValidation>
  </dataValidations>
  <pageMargins left="0.7" right="0.7" top="0.75" bottom="0.75" header="0.3" footer="0.3"/>
  <pageSetup paperSize="9" scale="5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Ghat 35x70  </vt:lpstr>
      <vt:lpstr>'Ghat 35x70  '!Print_Area</vt:lpstr>
    </vt:vector>
  </TitlesOfParts>
  <Company>ssb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garg</dc:creator>
  <cp:lastModifiedBy>amit garg</cp:lastModifiedBy>
  <dcterms:created xsi:type="dcterms:W3CDTF">2026-01-26T11:56:39Z</dcterms:created>
  <dcterms:modified xsi:type="dcterms:W3CDTF">2026-01-26T11:56:39Z</dcterms:modified>
</cp:coreProperties>
</file>