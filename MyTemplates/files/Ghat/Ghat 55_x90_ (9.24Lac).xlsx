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itg\AppData\Local\MRGARGSIRTools\MyTemplates\"/>
    </mc:Choice>
  </mc:AlternateContent>
  <xr:revisionPtr revIDLastSave="0" documentId="8_{047550F8-4F32-45D5-95D9-94AE6E7C7BC2}" xr6:coauthVersionLast="47" xr6:coauthVersionMax="47" xr10:uidLastSave="{00000000-0000-0000-0000-000000000000}"/>
  <bookViews>
    <workbookView xWindow="-120" yWindow="-120" windowWidth="29040" windowHeight="15840" xr2:uid="{B3EE4DF0-6C37-43AC-A998-CDDF3767A704}"/>
  </bookViews>
  <sheets>
    <sheet name="Ghat 55x90"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3" i="2" l="1"/>
  <c r="K62" i="2"/>
  <c r="H61" i="2"/>
  <c r="H62" i="2" s="1"/>
  <c r="H63" i="2" s="1"/>
  <c r="L63" i="2" s="1"/>
  <c r="K58" i="2"/>
  <c r="H58" i="2"/>
  <c r="L58" i="2" s="1"/>
  <c r="K57" i="2"/>
  <c r="H57" i="2"/>
  <c r="H56" i="2"/>
  <c r="K53" i="2"/>
  <c r="K52" i="2"/>
  <c r="H52" i="2"/>
  <c r="H53" i="2" s="1"/>
  <c r="L53" i="2" s="1"/>
  <c r="H51" i="2"/>
  <c r="K48" i="2"/>
  <c r="K47" i="2"/>
  <c r="H47" i="2"/>
  <c r="H48" i="2" s="1"/>
  <c r="L48" i="2" s="1"/>
  <c r="H46" i="2"/>
  <c r="H45" i="2"/>
  <c r="K42" i="2"/>
  <c r="K41" i="2"/>
  <c r="H41" i="2"/>
  <c r="H42" i="2" s="1"/>
  <c r="L42" i="2" s="1"/>
  <c r="H40" i="2"/>
  <c r="K37" i="2"/>
  <c r="K36" i="2"/>
  <c r="H35" i="2"/>
  <c r="H36" i="2" s="1"/>
  <c r="H37" i="2" s="1"/>
  <c r="L37" i="2" s="1"/>
  <c r="F35" i="2"/>
  <c r="K32" i="2"/>
  <c r="K31" i="2"/>
  <c r="H30" i="2"/>
  <c r="H31" i="2" s="1"/>
  <c r="H32" i="2" s="1"/>
  <c r="L32" i="2" s="1"/>
  <c r="F30" i="2"/>
  <c r="K27" i="2"/>
  <c r="K26" i="2"/>
  <c r="H23" i="2"/>
  <c r="E23" i="2"/>
  <c r="E24" i="2" s="1"/>
  <c r="H22" i="2"/>
  <c r="E22" i="2"/>
  <c r="G21" i="2"/>
  <c r="E20" i="2"/>
  <c r="E21" i="2" s="1"/>
  <c r="H21" i="2" s="1"/>
  <c r="E19" i="2"/>
  <c r="H19" i="2" s="1"/>
  <c r="E18" i="2"/>
  <c r="H18" i="2" s="1"/>
  <c r="K15" i="2"/>
  <c r="K14" i="2"/>
  <c r="H13" i="2"/>
  <c r="H12" i="2"/>
  <c r="H14" i="2" s="1"/>
  <c r="H15" i="2" s="1"/>
  <c r="L15" i="2" s="1"/>
  <c r="E12" i="2"/>
  <c r="K9" i="2"/>
  <c r="K8" i="2"/>
  <c r="H7" i="2"/>
  <c r="H6" i="2"/>
  <c r="H8" i="2" s="1"/>
  <c r="H9" i="2" s="1"/>
  <c r="L9" i="2" s="1"/>
  <c r="A5" i="2"/>
  <c r="A11" i="2" s="1"/>
  <c r="A17" i="2" s="1"/>
  <c r="A29" i="2" s="1"/>
  <c r="A34" i="2" l="1"/>
  <c r="E25" i="2"/>
  <c r="H25" i="2" s="1"/>
  <c r="H24" i="2"/>
  <c r="H20" i="2"/>
  <c r="H26" i="2" s="1"/>
  <c r="H27" i="2" s="1"/>
  <c r="L27" i="2" s="1"/>
  <c r="L65" i="2" s="1"/>
  <c r="L66" i="2" l="1"/>
  <c r="L67" i="2" s="1"/>
  <c r="A39" i="2"/>
  <c r="L69" i="2" l="1"/>
  <c r="J71" i="2" s="1"/>
  <c r="L68" i="2"/>
  <c r="A44" i="2"/>
  <c r="A50" i="2"/>
  <c r="A55" i="2" l="1"/>
  <c r="A60" i="2" s="1"/>
</calcChain>
</file>

<file path=xl/sharedStrings.xml><?xml version="1.0" encoding="utf-8"?>
<sst xmlns="http://schemas.openxmlformats.org/spreadsheetml/2006/main" count="113" uniqueCount="53">
  <si>
    <t>Analysis of Cow Ghat size 55'*90'</t>
  </si>
  <si>
    <t>Sr No</t>
  </si>
  <si>
    <t>HSR
Item No</t>
  </si>
  <si>
    <t>Description</t>
  </si>
  <si>
    <t>Nos</t>
  </si>
  <si>
    <t>Length</t>
  </si>
  <si>
    <t>Breadth</t>
  </si>
  <si>
    <t>Depth</t>
  </si>
  <si>
    <t>Quantity</t>
  </si>
  <si>
    <t>Unit</t>
  </si>
  <si>
    <t>Rate Type</t>
  </si>
  <si>
    <t>Rate</t>
  </si>
  <si>
    <t>Amount</t>
  </si>
  <si>
    <t>4.14.1</t>
  </si>
  <si>
    <r>
      <t xml:space="preserve">4.14: Earth Work and Rock Cutting 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t>
    </r>
    <r>
      <rPr>
        <b/>
        <i/>
        <sz val="9"/>
        <color rgb="FF8B0000"/>
        <rFont val="Times New Roman"/>
        <family val="1"/>
      </rPr>
      <t xml:space="preserve">4.14.1: All kinds of soil.
</t>
    </r>
  </si>
  <si>
    <t>Side wall</t>
  </si>
  <si>
    <t>cft</t>
  </si>
  <si>
    <t>Toe wall</t>
  </si>
  <si>
    <t>Total (cft)</t>
  </si>
  <si>
    <t>Total (cum)</t>
  </si>
  <si>
    <t>cum</t>
  </si>
  <si>
    <t>Through Rate</t>
  </si>
  <si>
    <t>6.1.7</t>
  </si>
  <si>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 xml:space="preserve">6.1.7: 1:5:10 (1 cement : 5 coarse sand (zone-III): 10 graded stone aggregate 40 mm nominal size)
</t>
    </r>
  </si>
  <si>
    <t>7.21.1</t>
  </si>
  <si>
    <r>
      <t xml:space="preserve">7.21: Brick work with common burnt clay non- modular bricks of class designation 10.5 in foundation and plinth in:
</t>
    </r>
    <r>
      <rPr>
        <b/>
        <i/>
        <sz val="9"/>
        <color rgb="FF8B0000"/>
        <rFont val="Times New Roman"/>
        <family val="1"/>
      </rPr>
      <t xml:space="preserve">7.21.1: Cement mortar 1:4 (1 cement : 4 coarse sand)
</t>
    </r>
  </si>
  <si>
    <t>Through Rate Amnd</t>
  </si>
  <si>
    <t>4.37</t>
  </si>
  <si>
    <t xml:space="preserve">4.37: Earth Work and Rock Cutting Filling with available fly ash and earth (excluding rock) in trenches or embankment in layers (each layer should not exceed 15 cm), with intermediate layer of compacted earth (Soil density of 98%) after every four layers of compacted depth of fly ash, sides and top layer of filling shall be done with earth having total minimum compacted thickness 30 cm or as decided by Engineer -in-charge, including compacting each layer by rolling/ ramming and watering, all complete as per drawing and direction of Engineer -in - charge.
</t>
  </si>
  <si>
    <t>10.100.2</t>
  </si>
  <si>
    <r>
      <t xml:space="preserve">10.100: Flooring and Dados OTHER MISCELLANEOUS ITEMS USED FOR FLOORING 0 Cement Concrete 1:8:16 Flooring
</t>
    </r>
    <r>
      <rPr>
        <b/>
        <i/>
        <sz val="9"/>
        <color rgb="FF8B0000"/>
        <rFont val="Calibri"/>
        <family val="2"/>
        <scheme val="minor"/>
      </rPr>
      <t xml:space="preserve">10.100.2: Cement Concrete 1:8:16 with stone aggregate 40 mm size in foundation and plinth.
</t>
    </r>
  </si>
  <si>
    <t>10.33.1</t>
  </si>
  <si>
    <r>
      <t xml:space="preserve">10.33: Flooring and Dados BRICK FLOORING Providing and laying of brick on edge flooring with bricks of class designation 7.5 on a bed of 12 mm cement mortar, including filling the joints with same mortar, with common burnt clay non modular bricks:
</t>
    </r>
    <r>
      <rPr>
        <b/>
        <i/>
        <sz val="9"/>
        <color rgb="FF8B0000"/>
        <rFont val="Times New Roman"/>
        <family val="1"/>
      </rPr>
      <t xml:space="preserve">10.33.1: 1:4 (1 cement : 4 coarse sand)
</t>
    </r>
  </si>
  <si>
    <t>sft</t>
  </si>
  <si>
    <t>Total (sft)</t>
  </si>
  <si>
    <t>Total (sqm)</t>
  </si>
  <si>
    <t>sqm</t>
  </si>
  <si>
    <t>10.7</t>
  </si>
  <si>
    <t xml:space="preserve">10.7: Flooring and Dados CEMENT CONCRETE FLOORING Providing and laying of conglomerate floor 50mm thick cement concrete topping 1:2:4
</t>
  </si>
  <si>
    <t>6.14.1</t>
  </si>
  <si>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Times New Roman"/>
        <family val="1"/>
      </rPr>
      <t xml:space="preserve">6.14.1: 1:1.5:3 (1 cement : 1.5 coarse sand (zone-III): 3 graded stone aggregate 20 mm nominal size)
</t>
    </r>
  </si>
  <si>
    <t>11.12.2</t>
  </si>
  <si>
    <r>
      <t xml:space="preserve">11.12: Finishing Works CEMENT PLASTER WITH A FLOATING COAT OF NEAT CEMENT 15 mm cement plaster on rough side of single or half brick wall finished with a floating coat of neat cement of mix :
</t>
    </r>
    <r>
      <rPr>
        <b/>
        <i/>
        <sz val="9"/>
        <color rgb="FF8B0000"/>
        <rFont val="Times New Roman"/>
        <family val="1"/>
      </rPr>
      <t xml:space="preserve">11.12.2: 1:4 (1 cement: 4 fine sand)
</t>
    </r>
  </si>
  <si>
    <t>11.11.2</t>
  </si>
  <si>
    <r>
      <t xml:space="preserve">11.11: Finishing Works CEMENT PLASTER WITH A FLOATING COAT OF NEAT CEMENT 12 mm cement plaster finished with a floating coat of neat cement of mix :
</t>
    </r>
    <r>
      <rPr>
        <b/>
        <i/>
        <sz val="9"/>
        <color rgb="FF8B0000"/>
        <rFont val="Times New Roman"/>
        <family val="1"/>
      </rPr>
      <t xml:space="preserve">11.11.2: 1:4 (1 cement: 4 fine sand)
</t>
    </r>
  </si>
  <si>
    <t>End</t>
  </si>
  <si>
    <t>Total</t>
  </si>
  <si>
    <t>Add 18% GST</t>
  </si>
  <si>
    <t>Total Amount</t>
  </si>
  <si>
    <t>Add 1% Contigency</t>
  </si>
  <si>
    <t>GRAND TOTAL</t>
  </si>
  <si>
    <t xml:space="preserve"> .</t>
  </si>
  <si>
    <t xml:space="preserve">Say Rs.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</si>
</sst>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quot;&quot;"/>
    <numFmt numFmtId="166" formatCode="_(* #,##0_);_(* \(#,##0\);_(* &quot;-&quot;??_);_(@_)"/>
  </numFmts>
  <fonts count="23" x14ac:knownFonts="1">
    <font>
      <sz val="11"/>
      <color theme="1"/>
      <name val="Calibri"/>
      <family val="2"/>
      <scheme val="minor"/>
    </font>
    <font>
      <b/>
      <sz val="11"/>
      <color theme="1"/>
      <name val="Calibri"/>
      <family val="2"/>
      <scheme val="minor"/>
    </font>
    <font>
      <b/>
      <sz val="18"/>
      <color indexed="8"/>
      <name val="Times New Roman"/>
      <family val="1"/>
    </font>
    <font>
      <sz val="12"/>
      <color theme="1"/>
      <name val="Times New Roman"/>
      <family val="1"/>
    </font>
    <font>
      <b/>
      <sz val="14"/>
      <name val="Times New Roman"/>
      <family val="1"/>
    </font>
    <font>
      <b/>
      <sz val="12"/>
      <name val="Times New Roman"/>
      <family val="1"/>
    </font>
    <font>
      <sz val="14"/>
      <color theme="1"/>
      <name val="Times New Roman"/>
      <family val="1"/>
    </font>
    <font>
      <b/>
      <sz val="12"/>
      <color indexed="8"/>
      <name val="Times New Roman"/>
      <family val="1"/>
    </font>
    <font>
      <b/>
      <i/>
      <sz val="10"/>
      <color rgb="FF006400"/>
      <name val="Times New Roman"/>
      <family val="1"/>
    </font>
    <font>
      <b/>
      <i/>
      <sz val="9"/>
      <color rgb="FF8B0000"/>
      <name val="Times New Roman"/>
      <family val="1"/>
    </font>
    <font>
      <b/>
      <sz val="12"/>
      <color theme="1"/>
      <name val="Times New Roman"/>
      <family val="1"/>
    </font>
    <font>
      <sz val="12"/>
      <color indexed="8"/>
      <name val="Times New Roman"/>
      <family val="1"/>
    </font>
    <font>
      <b/>
      <i/>
      <sz val="10"/>
      <color rgb="FF006400"/>
      <name val="Calibri"/>
      <family val="2"/>
      <scheme val="minor"/>
    </font>
    <font>
      <b/>
      <i/>
      <sz val="9"/>
      <color rgb="FF8B0000"/>
      <name val="Calibri"/>
      <family val="2"/>
      <scheme val="minor"/>
    </font>
    <font>
      <b/>
      <sz val="14"/>
      <color theme="1"/>
      <name val="Times New Roman"/>
      <family val="1"/>
    </font>
    <font>
      <sz val="12"/>
      <name val="Times New Roman"/>
      <family val="1"/>
    </font>
    <font>
      <sz val="16"/>
      <color theme="1"/>
      <name val="Times New Roman"/>
      <family val="1"/>
    </font>
    <font>
      <b/>
      <sz val="16"/>
      <color theme="1"/>
      <name val="Times New Roman"/>
      <family val="1"/>
    </font>
    <font>
      <b/>
      <sz val="11"/>
      <color rgb="FF000000"/>
      <name val="Times New Roman"/>
      <family val="1"/>
    </font>
    <font>
      <b/>
      <sz val="11"/>
      <color rgb="FF000000"/>
      <name val="Calibri"/>
      <family val="2"/>
      <scheme val="minor"/>
    </font>
    <font>
      <b/>
      <sz val="11"/>
      <color theme="1"/>
      <name val="Times New Roman"/>
      <family val="1"/>
    </font>
    <font>
      <b/>
      <i/>
      <sz val="14"/>
      <color rgb="FF000000"/>
      <name val="Times New Roman"/>
      <family val="1"/>
    </font>
    <font>
      <sz val="11"/>
      <color theme="1"/>
      <name val="Times New Roman"/>
      <family val="1"/>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2">
    <border>
      <left/>
      <right/>
      <top/>
      <bottom/>
      <diagonal/>
    </border>
    <border>
      <left/>
      <right/>
      <top style="thin">
        <color indexed="64"/>
      </top>
      <bottom/>
      <diagonal/>
    </border>
    <border>
      <left/>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s>
  <cellStyleXfs count="1">
    <xf numFmtId="0" fontId="0" fillId="0" borderId="0"/>
  </cellStyleXfs>
  <cellXfs count="164">
    <xf numFmtId="0" fontId="0" fillId="0" borderId="0" xfId="0"/>
    <xf numFmtId="0" fontId="2" fillId="0" borderId="1" xfId="0" applyFont="1" applyBorder="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2" fillId="0" borderId="2" xfId="0" applyFont="1" applyBorder="1" applyAlignment="1">
      <alignment horizontal="center" vertical="center"/>
    </xf>
    <xf numFmtId="0" fontId="4" fillId="0" borderId="3" xfId="0" applyFont="1" applyBorder="1" applyAlignment="1">
      <alignment horizontal="center" vertical="center" wrapText="1"/>
    </xf>
    <xf numFmtId="49" fontId="5" fillId="0" borderId="4" xfId="0" applyNumberFormat="1" applyFont="1" applyBorder="1" applyAlignment="1">
      <alignment horizontal="center" vertical="center" wrapText="1"/>
    </xf>
    <xf numFmtId="0" fontId="4" fillId="0" borderId="4" xfId="0" applyFont="1" applyBorder="1" applyAlignment="1">
      <alignment horizontal="center" vertical="center" wrapText="1"/>
    </xf>
    <xf numFmtId="2" fontId="4" fillId="0" borderId="4"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6" fillId="0" borderId="0" xfId="0" applyFont="1" applyAlignment="1">
      <alignment horizontal="center" vertical="center"/>
    </xf>
    <xf numFmtId="1" fontId="7" fillId="0" borderId="6" xfId="0" applyNumberFormat="1" applyFont="1" applyBorder="1" applyAlignment="1">
      <alignment horizontal="center" vertical="center"/>
    </xf>
    <xf numFmtId="49" fontId="7" fillId="0" borderId="7" xfId="0" applyNumberFormat="1" applyFont="1" applyBorder="1" applyAlignment="1">
      <alignment horizontal="center" vertical="center"/>
    </xf>
    <xf numFmtId="0" fontId="8" fillId="0" borderId="7" xfId="0" applyFont="1" applyBorder="1" applyAlignment="1">
      <alignment horizontal="left"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2" fontId="3" fillId="0" borderId="9" xfId="0" applyNumberFormat="1" applyFont="1" applyBorder="1" applyAlignment="1">
      <alignment horizontal="center" vertical="center"/>
    </xf>
    <xf numFmtId="0" fontId="3" fillId="2" borderId="9" xfId="0" applyFont="1" applyFill="1" applyBorder="1" applyAlignment="1">
      <alignment horizontal="right" vertical="center"/>
    </xf>
    <xf numFmtId="0" fontId="10" fillId="0" borderId="9" xfId="0" applyFont="1" applyBorder="1" applyAlignment="1">
      <alignment horizontal="left" vertical="center"/>
    </xf>
    <xf numFmtId="0" fontId="3" fillId="3" borderId="9" xfId="0" applyFont="1" applyFill="1" applyBorder="1" applyAlignment="1">
      <alignment horizontal="center" vertical="center" wrapText="1"/>
    </xf>
    <xf numFmtId="0" fontId="3" fillId="4" borderId="9" xfId="0" applyFont="1" applyFill="1" applyBorder="1" applyAlignment="1">
      <alignment horizontal="right" vertical="center"/>
    </xf>
    <xf numFmtId="2" fontId="10" fillId="0" borderId="10" xfId="0" applyNumberFormat="1" applyFont="1" applyBorder="1" applyAlignment="1">
      <alignment horizontal="center" vertical="center"/>
    </xf>
    <xf numFmtId="0" fontId="7"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11" fillId="0" borderId="7" xfId="0" applyFont="1" applyBorder="1" applyAlignment="1">
      <alignment horizontal="center" vertical="center"/>
    </xf>
    <xf numFmtId="164" fontId="11" fillId="0" borderId="7" xfId="0" applyNumberFormat="1" applyFont="1" applyBorder="1" applyAlignment="1">
      <alignment horizontal="center" vertical="center"/>
    </xf>
    <xf numFmtId="2" fontId="11" fillId="0" borderId="7" xfId="0" applyNumberFormat="1" applyFont="1" applyBorder="1" applyAlignment="1">
      <alignment horizontal="center" vertical="center"/>
    </xf>
    <xf numFmtId="164" fontId="11" fillId="2" borderId="7" xfId="0" applyNumberFormat="1" applyFont="1" applyFill="1" applyBorder="1" applyAlignment="1">
      <alignment horizontal="right" vertical="center"/>
    </xf>
    <xf numFmtId="1" fontId="7" fillId="0" borderId="7" xfId="0" applyNumberFormat="1" applyFont="1" applyBorder="1" applyAlignment="1">
      <alignment horizontal="left" vertical="center"/>
    </xf>
    <xf numFmtId="1" fontId="11" fillId="3" borderId="7" xfId="0" applyNumberFormat="1" applyFont="1" applyFill="1" applyBorder="1" applyAlignment="1">
      <alignment horizontal="center" vertical="center" wrapText="1"/>
    </xf>
    <xf numFmtId="0" fontId="3" fillId="4" borderId="7" xfId="0" applyFont="1" applyFill="1" applyBorder="1" applyAlignment="1">
      <alignment horizontal="right" vertical="center"/>
    </xf>
    <xf numFmtId="2" fontId="10" fillId="0" borderId="11" xfId="0" applyNumberFormat="1" applyFont="1" applyBorder="1" applyAlignment="1">
      <alignment horizontal="center" vertical="center"/>
    </xf>
    <xf numFmtId="1" fontId="7" fillId="5" borderId="6" xfId="0" applyNumberFormat="1" applyFont="1" applyFill="1" applyBorder="1" applyAlignment="1">
      <alignment horizontal="center" vertical="center"/>
    </xf>
    <xf numFmtId="0" fontId="7" fillId="5" borderId="7" xfId="0" applyFont="1" applyFill="1" applyBorder="1" applyAlignment="1">
      <alignment horizontal="center" vertical="center"/>
    </xf>
    <xf numFmtId="0" fontId="10" fillId="5" borderId="7" xfId="0" applyFont="1" applyFill="1" applyBorder="1" applyAlignment="1">
      <alignment horizontal="center" vertical="center" wrapText="1"/>
    </xf>
    <xf numFmtId="0" fontId="10" fillId="5" borderId="7" xfId="0" applyFont="1" applyFill="1" applyBorder="1" applyAlignment="1">
      <alignment horizontal="center" vertical="center"/>
    </xf>
    <xf numFmtId="164" fontId="7" fillId="5" borderId="7" xfId="0" applyNumberFormat="1" applyFont="1" applyFill="1" applyBorder="1" applyAlignment="1">
      <alignment horizontal="center" vertical="center"/>
    </xf>
    <xf numFmtId="1" fontId="7" fillId="2" borderId="7" xfId="0" applyNumberFormat="1" applyFont="1" applyFill="1" applyBorder="1" applyAlignment="1">
      <alignment horizontal="right" vertical="center"/>
    </xf>
    <xf numFmtId="1" fontId="7" fillId="5" borderId="7" xfId="0" applyNumberFormat="1" applyFont="1" applyFill="1" applyBorder="1" applyAlignment="1">
      <alignment horizontal="left" vertical="center"/>
    </xf>
    <xf numFmtId="1" fontId="7" fillId="3" borderId="7" xfId="0" applyNumberFormat="1" applyFont="1" applyFill="1" applyBorder="1" applyAlignment="1">
      <alignment horizontal="center" vertical="center" wrapText="1"/>
    </xf>
    <xf numFmtId="165" fontId="10" fillId="4" borderId="7" xfId="0" applyNumberFormat="1" applyFont="1" applyFill="1" applyBorder="1" applyAlignment="1">
      <alignment horizontal="right" vertical="center"/>
    </xf>
    <xf numFmtId="2" fontId="10" fillId="5" borderId="11" xfId="0" applyNumberFormat="1" applyFont="1" applyFill="1" applyBorder="1" applyAlignment="1">
      <alignment horizontal="center" vertical="center"/>
    </xf>
    <xf numFmtId="1" fontId="7" fillId="6" borderId="6" xfId="0" applyNumberFormat="1" applyFont="1" applyFill="1" applyBorder="1" applyAlignment="1">
      <alignment horizontal="center" vertical="center"/>
    </xf>
    <xf numFmtId="0" fontId="7" fillId="6"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6" borderId="7" xfId="0" applyFont="1" applyFill="1" applyBorder="1" applyAlignment="1">
      <alignment horizontal="center" vertical="center"/>
    </xf>
    <xf numFmtId="2" fontId="7" fillId="6" borderId="7" xfId="0" applyNumberFormat="1" applyFont="1" applyFill="1" applyBorder="1" applyAlignment="1">
      <alignment horizontal="center" vertical="center"/>
    </xf>
    <xf numFmtId="164" fontId="7" fillId="2" borderId="7" xfId="0" applyNumberFormat="1" applyFont="1" applyFill="1" applyBorder="1" applyAlignment="1">
      <alignment horizontal="right" vertical="center"/>
    </xf>
    <xf numFmtId="1" fontId="7" fillId="6" borderId="7" xfId="0" applyNumberFormat="1" applyFont="1" applyFill="1" applyBorder="1" applyAlignment="1">
      <alignment horizontal="left" vertical="center" wrapText="1"/>
    </xf>
    <xf numFmtId="0" fontId="7" fillId="4" borderId="7" xfId="0" applyFont="1" applyFill="1" applyBorder="1" applyAlignment="1">
      <alignment horizontal="right" vertical="center"/>
    </xf>
    <xf numFmtId="166" fontId="10" fillId="6" borderId="11" xfId="0" applyNumberFormat="1" applyFont="1" applyFill="1" applyBorder="1" applyAlignment="1">
      <alignment horizontal="center" vertical="center"/>
    </xf>
    <xf numFmtId="1" fontId="7" fillId="7" borderId="6" xfId="0" applyNumberFormat="1" applyFont="1" applyFill="1" applyBorder="1" applyAlignment="1">
      <alignment horizontal="center" vertical="center"/>
    </xf>
    <xf numFmtId="0" fontId="7" fillId="7" borderId="7" xfId="0" applyFont="1" applyFill="1" applyBorder="1" applyAlignment="1">
      <alignment horizontal="center" vertical="center"/>
    </xf>
    <xf numFmtId="0" fontId="3" fillId="7" borderId="7" xfId="0" applyFont="1" applyFill="1" applyBorder="1" applyAlignment="1">
      <alignment horizontal="center" vertical="center" wrapText="1"/>
    </xf>
    <xf numFmtId="0" fontId="3" fillId="7" borderId="7" xfId="0" applyFont="1" applyFill="1" applyBorder="1" applyAlignment="1">
      <alignment horizontal="center" vertical="center"/>
    </xf>
    <xf numFmtId="1" fontId="7" fillId="7" borderId="7" xfId="0" applyNumberFormat="1" applyFont="1" applyFill="1" applyBorder="1" applyAlignment="1">
      <alignment horizontal="center" vertical="center"/>
    </xf>
    <xf numFmtId="2" fontId="7" fillId="7" borderId="7" xfId="0" applyNumberFormat="1" applyFont="1" applyFill="1" applyBorder="1" applyAlignment="1">
      <alignment horizontal="center" vertical="center"/>
    </xf>
    <xf numFmtId="1" fontId="7" fillId="7" borderId="7" xfId="0" applyNumberFormat="1" applyFont="1" applyFill="1" applyBorder="1" applyAlignment="1">
      <alignment horizontal="left" vertical="center"/>
    </xf>
    <xf numFmtId="2" fontId="10" fillId="7" borderId="11" xfId="0" applyNumberFormat="1" applyFont="1" applyFill="1" applyBorder="1" applyAlignment="1">
      <alignment horizontal="center" vertical="center"/>
    </xf>
    <xf numFmtId="1" fontId="11" fillId="3" borderId="9" xfId="0" applyNumberFormat="1" applyFont="1" applyFill="1" applyBorder="1" applyAlignment="1">
      <alignment horizontal="center" vertical="center" wrapText="1"/>
    </xf>
    <xf numFmtId="2" fontId="11" fillId="4" borderId="9" xfId="0" applyNumberFormat="1" applyFont="1" applyFill="1" applyBorder="1" applyAlignment="1">
      <alignment horizontal="right" vertical="center"/>
    </xf>
    <xf numFmtId="2" fontId="7" fillId="0" borderId="10" xfId="0" applyNumberFormat="1" applyFont="1" applyBorder="1" applyAlignment="1">
      <alignment horizontal="center" vertical="center"/>
    </xf>
    <xf numFmtId="2" fontId="11" fillId="4" borderId="7" xfId="0" applyNumberFormat="1" applyFont="1" applyFill="1" applyBorder="1" applyAlignment="1">
      <alignment horizontal="right" vertical="center"/>
    </xf>
    <xf numFmtId="2" fontId="7" fillId="0" borderId="11" xfId="0" applyNumberFormat="1" applyFont="1" applyBorder="1" applyAlignment="1">
      <alignment horizontal="center" vertical="center"/>
    </xf>
    <xf numFmtId="165" fontId="7" fillId="4" borderId="7" xfId="0" applyNumberFormat="1" applyFont="1" applyFill="1" applyBorder="1" applyAlignment="1">
      <alignment horizontal="right" vertical="center"/>
    </xf>
    <xf numFmtId="2" fontId="7" fillId="5" borderId="11" xfId="0" applyNumberFormat="1" applyFont="1" applyFill="1" applyBorder="1" applyAlignment="1">
      <alignment horizontal="center" vertical="center"/>
    </xf>
    <xf numFmtId="0" fontId="7" fillId="6" borderId="7" xfId="0" applyFont="1" applyFill="1" applyBorder="1" applyAlignment="1">
      <alignment horizontal="left" vertical="center" wrapText="1"/>
    </xf>
    <xf numFmtId="0" fontId="7" fillId="3" borderId="7" xfId="0" applyFont="1" applyFill="1" applyBorder="1" applyAlignment="1">
      <alignment horizontal="center" vertical="center" wrapText="1"/>
    </xf>
    <xf numFmtId="2" fontId="7" fillId="4" borderId="7" xfId="0" applyNumberFormat="1" applyFont="1" applyFill="1" applyBorder="1" applyAlignment="1">
      <alignment horizontal="right" vertical="center"/>
    </xf>
    <xf numFmtId="164" fontId="3" fillId="7" borderId="7" xfId="0" applyNumberFormat="1" applyFont="1" applyFill="1" applyBorder="1" applyAlignment="1">
      <alignment horizontal="center" vertical="center"/>
    </xf>
    <xf numFmtId="0" fontId="7" fillId="7" borderId="7" xfId="0" applyFont="1" applyFill="1" applyBorder="1" applyAlignment="1">
      <alignment horizontal="left" vertical="center"/>
    </xf>
    <xf numFmtId="2" fontId="3" fillId="0" borderId="7" xfId="0" applyNumberFormat="1" applyFont="1" applyBorder="1" applyAlignment="1">
      <alignment horizontal="center" vertical="center"/>
    </xf>
    <xf numFmtId="164" fontId="3" fillId="2" borderId="7" xfId="0" applyNumberFormat="1" applyFont="1" applyFill="1" applyBorder="1" applyAlignment="1">
      <alignment horizontal="right" vertical="center"/>
    </xf>
    <xf numFmtId="0" fontId="7" fillId="0" borderId="7" xfId="0" applyFont="1" applyBorder="1" applyAlignment="1">
      <alignment horizontal="left" vertical="center"/>
    </xf>
    <xf numFmtId="0" fontId="11" fillId="3" borderId="7" xfId="0" applyFont="1" applyFill="1" applyBorder="1" applyAlignment="1">
      <alignment horizontal="center" vertical="center" wrapText="1"/>
    </xf>
    <xf numFmtId="2" fontId="7" fillId="5" borderId="7" xfId="0" applyNumberFormat="1" applyFont="1" applyFill="1" applyBorder="1" applyAlignment="1">
      <alignment horizontal="center" vertical="center"/>
    </xf>
    <xf numFmtId="0" fontId="7" fillId="5" borderId="7" xfId="0" applyFont="1" applyFill="1" applyBorder="1" applyAlignment="1">
      <alignment horizontal="left" vertical="center"/>
    </xf>
    <xf numFmtId="2" fontId="7" fillId="2" borderId="7" xfId="0" applyNumberFormat="1" applyFont="1" applyFill="1" applyBorder="1" applyAlignment="1">
      <alignment horizontal="right" vertical="center"/>
    </xf>
    <xf numFmtId="2" fontId="7" fillId="7" borderId="11" xfId="0" applyNumberFormat="1" applyFont="1" applyFill="1" applyBorder="1" applyAlignment="1">
      <alignment horizontal="center" vertical="center"/>
    </xf>
    <xf numFmtId="0" fontId="8" fillId="0" borderId="7" xfId="0" applyFont="1" applyBorder="1" applyAlignment="1">
      <alignment vertical="center" wrapText="1"/>
    </xf>
    <xf numFmtId="164" fontId="3" fillId="0" borderId="9"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2" borderId="9" xfId="0" applyNumberFormat="1" applyFont="1" applyFill="1" applyBorder="1" applyAlignment="1">
      <alignment horizontal="right" vertical="center"/>
    </xf>
    <xf numFmtId="0" fontId="7" fillId="0" borderId="9" xfId="0" applyFont="1" applyBorder="1" applyAlignment="1">
      <alignment horizontal="left" vertical="center"/>
    </xf>
    <xf numFmtId="0" fontId="7" fillId="3" borderId="9" xfId="0" applyFont="1" applyFill="1" applyBorder="1" applyAlignment="1">
      <alignment horizontal="center" vertical="center" wrapText="1"/>
    </xf>
    <xf numFmtId="2" fontId="7" fillId="4" borderId="9" xfId="0" applyNumberFormat="1" applyFont="1" applyFill="1" applyBorder="1" applyAlignment="1">
      <alignment horizontal="right" vertical="center"/>
    </xf>
    <xf numFmtId="164" fontId="3" fillId="0" borderId="7" xfId="0" applyNumberFormat="1" applyFont="1" applyBorder="1" applyAlignment="1">
      <alignment horizontal="center" vertical="center"/>
    </xf>
    <xf numFmtId="2" fontId="7" fillId="0" borderId="7" xfId="0" applyNumberFormat="1" applyFont="1" applyBorder="1" applyAlignment="1">
      <alignment horizontal="center" vertical="center"/>
    </xf>
    <xf numFmtId="0" fontId="10" fillId="6" borderId="7" xfId="0" applyFont="1" applyFill="1" applyBorder="1" applyAlignment="1">
      <alignment horizontal="center" vertical="center"/>
    </xf>
    <xf numFmtId="166" fontId="7" fillId="6" borderId="11" xfId="0" applyNumberFormat="1" applyFont="1" applyFill="1" applyBorder="1" applyAlignment="1">
      <alignment horizontal="center" vertical="center"/>
    </xf>
    <xf numFmtId="0" fontId="12" fillId="0" borderId="7" xfId="0" applyFont="1" applyBorder="1" applyAlignment="1">
      <alignment vertical="center" wrapText="1"/>
    </xf>
    <xf numFmtId="164" fontId="10" fillId="5" borderId="7" xfId="0" applyNumberFormat="1" applyFont="1" applyFill="1" applyBorder="1" applyAlignment="1">
      <alignment horizontal="center" vertical="center"/>
    </xf>
    <xf numFmtId="0" fontId="11" fillId="3" borderId="9" xfId="0" applyFont="1" applyFill="1" applyBorder="1" applyAlignment="1">
      <alignment horizontal="center" vertical="center" wrapText="1"/>
    </xf>
    <xf numFmtId="0" fontId="10" fillId="5" borderId="7" xfId="0" applyFont="1" applyFill="1" applyBorder="1" applyAlignment="1">
      <alignment horizontal="center" vertical="center"/>
    </xf>
    <xf numFmtId="164" fontId="10" fillId="2" borderId="7" xfId="0" applyNumberFormat="1" applyFont="1" applyFill="1" applyBorder="1" applyAlignment="1">
      <alignment horizontal="right" vertical="center"/>
    </xf>
    <xf numFmtId="49" fontId="10" fillId="0" borderId="7" xfId="0" applyNumberFormat="1" applyFont="1" applyBorder="1" applyAlignment="1">
      <alignment horizontal="center" vertical="center"/>
    </xf>
    <xf numFmtId="2" fontId="11" fillId="0" borderId="9" xfId="0" applyNumberFormat="1" applyFont="1" applyBorder="1" applyAlignment="1">
      <alignment horizontal="center" vertical="center"/>
    </xf>
    <xf numFmtId="2" fontId="11" fillId="2" borderId="9" xfId="0" applyNumberFormat="1" applyFont="1" applyFill="1" applyBorder="1" applyAlignment="1">
      <alignment horizontal="right" vertical="center"/>
    </xf>
    <xf numFmtId="0" fontId="14" fillId="0" borderId="7" xfId="0" applyFont="1" applyBorder="1" applyAlignment="1">
      <alignment horizontal="center" vertical="center"/>
    </xf>
    <xf numFmtId="0" fontId="15" fillId="0" borderId="7" xfId="0" applyFont="1" applyBorder="1" applyAlignment="1">
      <alignment vertical="center"/>
    </xf>
    <xf numFmtId="0" fontId="15" fillId="0" borderId="7" xfId="0" applyFont="1" applyBorder="1" applyAlignment="1" applyProtection="1">
      <alignment horizontal="center" vertical="center"/>
      <protection locked="0"/>
    </xf>
    <xf numFmtId="2" fontId="15" fillId="0" borderId="7" xfId="0" applyNumberFormat="1" applyFont="1" applyBorder="1" applyAlignment="1" applyProtection="1">
      <alignment horizontal="center" vertical="center"/>
      <protection locked="0"/>
    </xf>
    <xf numFmtId="164" fontId="15" fillId="2" borderId="7" xfId="0" applyNumberFormat="1" applyFont="1" applyFill="1" applyBorder="1" applyAlignment="1">
      <alignment horizontal="right" vertical="center"/>
    </xf>
    <xf numFmtId="0" fontId="5" fillId="0" borderId="7" xfId="0" applyFont="1" applyBorder="1" applyAlignment="1" applyProtection="1">
      <alignment horizontal="left" vertical="center"/>
      <protection locked="0"/>
    </xf>
    <xf numFmtId="0" fontId="15" fillId="3" borderId="7" xfId="0" applyFont="1" applyFill="1" applyBorder="1" applyAlignment="1" applyProtection="1">
      <alignment horizontal="center" vertical="center" wrapText="1"/>
      <protection locked="0"/>
    </xf>
    <xf numFmtId="0" fontId="5" fillId="4" borderId="7" xfId="0" applyFont="1" applyFill="1" applyBorder="1" applyAlignment="1" applyProtection="1">
      <alignment horizontal="right" vertical="center"/>
      <protection locked="0"/>
    </xf>
    <xf numFmtId="2" fontId="5" fillId="0" borderId="11" xfId="0" applyNumberFormat="1" applyFont="1" applyBorder="1" applyAlignment="1" applyProtection="1">
      <alignment horizontal="center" vertical="center"/>
      <protection locked="0"/>
    </xf>
    <xf numFmtId="0" fontId="14" fillId="5" borderId="7" xfId="0" applyFont="1" applyFill="1" applyBorder="1" applyAlignment="1">
      <alignment horizontal="center" vertical="center"/>
    </xf>
    <xf numFmtId="0" fontId="5" fillId="5" borderId="7" xfId="0" applyFont="1" applyFill="1" applyBorder="1" applyAlignment="1">
      <alignment vertical="center"/>
    </xf>
    <xf numFmtId="0" fontId="5" fillId="5" borderId="7" xfId="0" applyFont="1" applyFill="1" applyBorder="1" applyAlignment="1" applyProtection="1">
      <alignment horizontal="center" vertical="center"/>
      <protection locked="0"/>
    </xf>
    <xf numFmtId="2" fontId="5" fillId="5" borderId="7" xfId="0" applyNumberFormat="1" applyFont="1" applyFill="1" applyBorder="1" applyAlignment="1">
      <alignment horizontal="center" vertical="center"/>
    </xf>
    <xf numFmtId="2" fontId="5" fillId="2" borderId="7" xfId="0" applyNumberFormat="1" applyFont="1" applyFill="1" applyBorder="1" applyAlignment="1">
      <alignment horizontal="right" vertical="center"/>
    </xf>
    <xf numFmtId="0" fontId="5" fillId="5" borderId="7" xfId="0" applyFont="1" applyFill="1" applyBorder="1" applyAlignment="1" applyProtection="1">
      <alignment horizontal="left" vertical="center"/>
      <protection locked="0"/>
    </xf>
    <xf numFmtId="0" fontId="5" fillId="3" borderId="7" xfId="0" applyFont="1" applyFill="1" applyBorder="1" applyAlignment="1" applyProtection="1">
      <alignment horizontal="center" vertical="center" wrapText="1"/>
      <protection locked="0"/>
    </xf>
    <xf numFmtId="165" fontId="5" fillId="4" borderId="7" xfId="0" applyNumberFormat="1" applyFont="1" applyFill="1" applyBorder="1" applyAlignment="1">
      <alignment horizontal="right" vertical="center"/>
    </xf>
    <xf numFmtId="2" fontId="5" fillId="5" borderId="11" xfId="0" applyNumberFormat="1" applyFont="1" applyFill="1" applyBorder="1" applyAlignment="1" applyProtection="1">
      <alignment horizontal="center" vertical="center"/>
      <protection locked="0"/>
    </xf>
    <xf numFmtId="0" fontId="14" fillId="6" borderId="7" xfId="0" applyFont="1" applyFill="1" applyBorder="1" applyAlignment="1">
      <alignment horizontal="center" vertical="center"/>
    </xf>
    <xf numFmtId="0" fontId="5" fillId="6" borderId="7" xfId="0" applyFont="1" applyFill="1" applyBorder="1" applyAlignment="1">
      <alignment vertical="center"/>
    </xf>
    <xf numFmtId="0" fontId="5" fillId="6" borderId="7" xfId="0" applyFont="1" applyFill="1" applyBorder="1" applyAlignment="1" applyProtection="1">
      <alignment horizontal="center" vertical="center"/>
      <protection locked="0"/>
    </xf>
    <xf numFmtId="0" fontId="5" fillId="6" borderId="7" xfId="0" applyFont="1" applyFill="1" applyBorder="1" applyAlignment="1">
      <alignment horizontal="center" vertical="center"/>
    </xf>
    <xf numFmtId="164" fontId="5" fillId="2" borderId="7" xfId="0" applyNumberFormat="1" applyFont="1" applyFill="1" applyBorder="1" applyAlignment="1">
      <alignment horizontal="right" vertical="center"/>
    </xf>
    <xf numFmtId="0" fontId="5" fillId="6" borderId="7" xfId="0" applyFont="1" applyFill="1" applyBorder="1" applyAlignment="1" applyProtection="1">
      <alignment horizontal="left" vertical="center" wrapText="1"/>
      <protection locked="0"/>
    </xf>
    <xf numFmtId="0" fontId="5" fillId="4" borderId="7" xfId="0" applyFont="1" applyFill="1" applyBorder="1" applyAlignment="1">
      <alignment horizontal="right" vertical="center"/>
    </xf>
    <xf numFmtId="166" fontId="5" fillId="6" borderId="11" xfId="0" applyNumberFormat="1" applyFont="1" applyFill="1" applyBorder="1" applyAlignment="1">
      <alignment horizontal="center" vertical="center"/>
    </xf>
    <xf numFmtId="0" fontId="10" fillId="4" borderId="7" xfId="0" applyFont="1" applyFill="1" applyBorder="1" applyAlignment="1">
      <alignment horizontal="right" vertical="center"/>
    </xf>
    <xf numFmtId="0" fontId="3" fillId="0" borderId="0" xfId="0" applyFont="1" applyAlignment="1">
      <alignment horizontal="center" vertical="center"/>
    </xf>
    <xf numFmtId="0" fontId="10" fillId="7" borderId="7" xfId="0" applyFont="1" applyFill="1" applyBorder="1" applyAlignment="1">
      <alignment horizontal="center" vertical="center" wrapText="1"/>
    </xf>
    <xf numFmtId="0" fontId="10" fillId="7" borderId="7" xfId="0" applyFont="1" applyFill="1" applyBorder="1" applyAlignment="1">
      <alignment horizontal="center" vertical="center"/>
    </xf>
    <xf numFmtId="0" fontId="7" fillId="7" borderId="7" xfId="0" applyFont="1" applyFill="1" applyBorder="1" applyAlignment="1">
      <alignment horizontal="left" vertical="center" wrapText="1"/>
    </xf>
    <xf numFmtId="166" fontId="7" fillId="7" borderId="11" xfId="0" applyNumberFormat="1" applyFont="1" applyFill="1" applyBorder="1" applyAlignment="1">
      <alignment horizontal="center" vertical="center"/>
    </xf>
    <xf numFmtId="0" fontId="8" fillId="0" borderId="7" xfId="0" applyFont="1" applyBorder="1" applyAlignment="1">
      <alignment horizontal="center" vertical="center" wrapText="1"/>
    </xf>
    <xf numFmtId="0" fontId="10" fillId="0" borderId="8" xfId="0" applyFont="1" applyBorder="1" applyAlignment="1">
      <alignment horizontal="center" vertical="center"/>
    </xf>
    <xf numFmtId="0" fontId="10" fillId="0" borderId="9" xfId="0" applyFont="1" applyBorder="1" applyAlignment="1">
      <alignment horizontal="center" vertical="center"/>
    </xf>
    <xf numFmtId="164" fontId="7" fillId="2" borderId="9" xfId="0" applyNumberFormat="1" applyFont="1" applyFill="1" applyBorder="1" applyAlignment="1">
      <alignment horizontal="right" vertical="center"/>
    </xf>
    <xf numFmtId="0" fontId="7" fillId="0" borderId="9" xfId="0" applyFont="1" applyBorder="1" applyAlignment="1">
      <alignment horizontal="left" vertical="center" wrapText="1"/>
    </xf>
    <xf numFmtId="0" fontId="10" fillId="4" borderId="9" xfId="0" applyFont="1" applyFill="1" applyBorder="1" applyAlignment="1">
      <alignment horizontal="right" vertical="center"/>
    </xf>
    <xf numFmtId="166" fontId="7" fillId="0" borderId="10" xfId="0" applyNumberFormat="1" applyFont="1" applyBorder="1" applyAlignment="1">
      <alignment horizontal="center" vertical="center"/>
    </xf>
    <xf numFmtId="0" fontId="7" fillId="5" borderId="7" xfId="0" applyFont="1" applyFill="1" applyBorder="1" applyAlignment="1">
      <alignment horizontal="left" vertical="center" wrapText="1"/>
    </xf>
    <xf numFmtId="166" fontId="7" fillId="5" borderId="11" xfId="0" applyNumberFormat="1" applyFont="1" applyFill="1" applyBorder="1" applyAlignment="1">
      <alignment horizontal="center" vertical="center"/>
    </xf>
    <xf numFmtId="0" fontId="7" fillId="6" borderId="6" xfId="0" applyFont="1" applyFill="1" applyBorder="1" applyAlignment="1">
      <alignment horizontal="center" vertical="center"/>
    </xf>
    <xf numFmtId="0" fontId="3" fillId="7" borderId="12" xfId="0" applyFont="1" applyFill="1" applyBorder="1" applyAlignment="1">
      <alignment horizontal="center" vertical="center"/>
    </xf>
    <xf numFmtId="0" fontId="10" fillId="7" borderId="13" xfId="0" applyFont="1" applyFill="1" applyBorder="1" applyAlignment="1">
      <alignment horizontal="center" vertical="center"/>
    </xf>
    <xf numFmtId="0" fontId="3" fillId="7" borderId="13" xfId="0" applyFont="1" applyFill="1" applyBorder="1" applyAlignment="1">
      <alignment horizontal="center" vertical="center"/>
    </xf>
    <xf numFmtId="2" fontId="3" fillId="7" borderId="13" xfId="0" applyNumberFormat="1" applyFont="1" applyFill="1" applyBorder="1" applyAlignment="1">
      <alignment horizontal="center" vertical="center"/>
    </xf>
    <xf numFmtId="0" fontId="16" fillId="7" borderId="13" xfId="0" applyFont="1" applyFill="1" applyBorder="1" applyAlignment="1">
      <alignment horizontal="center" vertical="center"/>
    </xf>
    <xf numFmtId="1" fontId="17" fillId="7" borderId="14" xfId="0" applyNumberFormat="1" applyFont="1" applyFill="1" applyBorder="1" applyAlignment="1">
      <alignment horizontal="center" vertical="center"/>
    </xf>
    <xf numFmtId="0" fontId="10" fillId="0" borderId="0" xfId="0" applyFont="1" applyAlignment="1">
      <alignment horizontal="center" vertical="center"/>
    </xf>
    <xf numFmtId="0" fontId="18" fillId="8" borderId="15" xfId="0" applyFont="1" applyFill="1" applyBorder="1" applyAlignment="1">
      <alignment horizontal="centerContinuous" vertical="center"/>
    </xf>
    <xf numFmtId="0" fontId="19" fillId="8" borderId="16" xfId="0" applyFont="1" applyFill="1" applyBorder="1" applyAlignment="1">
      <alignment horizontal="centerContinuous"/>
    </xf>
    <xf numFmtId="166" fontId="19" fillId="8" borderId="17" xfId="0" applyNumberFormat="1" applyFont="1" applyFill="1" applyBorder="1" applyAlignment="1">
      <alignment horizontal="center" vertical="center"/>
    </xf>
    <xf numFmtId="0" fontId="18" fillId="8" borderId="18" xfId="0" applyFont="1" applyFill="1" applyBorder="1" applyAlignment="1">
      <alignment horizontal="centerContinuous" vertical="center"/>
    </xf>
    <xf numFmtId="0" fontId="19" fillId="8" borderId="9" xfId="0" applyFont="1" applyFill="1" applyBorder="1" applyAlignment="1">
      <alignment horizontal="centerContinuous"/>
    </xf>
    <xf numFmtId="166" fontId="19" fillId="8" borderId="10" xfId="0" applyNumberFormat="1" applyFont="1" applyFill="1" applyBorder="1" applyAlignment="1">
      <alignment horizontal="center" vertical="center"/>
    </xf>
    <xf numFmtId="0" fontId="18" fillId="8" borderId="19" xfId="0" applyFont="1" applyFill="1" applyBorder="1" applyAlignment="1">
      <alignment horizontal="centerContinuous" vertical="center"/>
    </xf>
    <xf numFmtId="0" fontId="19" fillId="8" borderId="20" xfId="0" applyFont="1" applyFill="1" applyBorder="1" applyAlignment="1">
      <alignment horizontal="centerContinuous"/>
    </xf>
    <xf numFmtId="166" fontId="19" fillId="8" borderId="21" xfId="0" applyNumberFormat="1" applyFont="1" applyFill="1" applyBorder="1" applyAlignment="1">
      <alignment horizontal="center" vertical="center"/>
    </xf>
    <xf numFmtId="0" fontId="20" fillId="0" borderId="0" xfId="0" applyFont="1" applyAlignment="1">
      <alignment horizontal="centerContinuous" vertical="center"/>
    </xf>
    <xf numFmtId="0" fontId="1" fillId="0" borderId="0" xfId="0" applyFont="1" applyAlignment="1">
      <alignment horizontal="centerContinuous"/>
    </xf>
    <xf numFmtId="0" fontId="1" fillId="0" borderId="0" xfId="0" applyFont="1" applyAlignment="1">
      <alignment horizontal="center" vertical="center"/>
    </xf>
    <xf numFmtId="0" fontId="21" fillId="0" borderId="0" xfId="0" applyFont="1" applyAlignment="1">
      <alignment horizontal="right" vertical="center" wrapText="1"/>
    </xf>
    <xf numFmtId="0" fontId="21" fillId="0" borderId="0" xfId="0" applyFont="1" applyAlignment="1">
      <alignment horizontal="centerContinuous" vertical="center" wrapText="1"/>
    </xf>
    <xf numFmtId="0" fontId="22" fillId="0" borderId="0" xfId="0" applyFont="1" applyAlignment="1">
      <alignment horizontal="centerContinuous"/>
    </xf>
    <xf numFmtId="2" fontId="3" fillId="0" borderId="0" xfId="0" applyNumberFormat="1" applyFont="1" applyAlignment="1">
      <alignment horizontal="center" vertical="center"/>
    </xf>
  </cellXfs>
  <cellStyles count="1">
    <cellStyle name="Normal" xfId="0" builtinId="0"/>
  </cellStyles>
  <dxfs count="10">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E26F-879F-4538-B20F-393B15D147F6}">
  <dimension ref="A1:M74"/>
  <sheetViews>
    <sheetView showGridLines="0" tabSelected="1" zoomScaleNormal="100" zoomScaleSheetLayoutView="85" workbookViewId="0">
      <pane ySplit="4" topLeftCell="A59" activePane="bottomLeft" state="frozen"/>
      <selection pane="bottomLeft" activeCell="C11" sqref="C11"/>
    </sheetView>
  </sheetViews>
  <sheetFormatPr defaultColWidth="0" defaultRowHeight="15.75" customHeight="1" zeroHeight="1" x14ac:dyDescent="0.25"/>
  <cols>
    <col min="1" max="1" width="10.7109375" style="126" customWidth="1"/>
    <col min="2" max="2" width="10.7109375" style="147" customWidth="1"/>
    <col min="3" max="3" width="69.7109375" style="126" customWidth="1"/>
    <col min="4" max="6" width="10.7109375" style="126" customWidth="1"/>
    <col min="7" max="7" width="10.7109375" style="163" customWidth="1"/>
    <col min="8" max="8" width="10.7109375" style="126" customWidth="1"/>
    <col min="9" max="9" width="10.7109375" style="147" customWidth="1"/>
    <col min="10" max="11" width="10.7109375" style="126" customWidth="1"/>
    <col min="12" max="12" width="10.42578125" style="163" bestFit="1" customWidth="1"/>
    <col min="13" max="13" width="9.140625" style="2" customWidth="1"/>
    <col min="14" max="14" width="5.7109375" style="2" customWidth="1"/>
    <col min="15" max="16384" width="9.140625" style="2" hidden="1"/>
  </cols>
  <sheetData>
    <row r="1" spans="1:12" ht="22.5" customHeight="1" x14ac:dyDescent="0.25">
      <c r="A1" s="1" t="s">
        <v>0</v>
      </c>
      <c r="B1" s="1"/>
      <c r="C1" s="1"/>
      <c r="D1" s="1"/>
      <c r="E1" s="1"/>
      <c r="F1" s="1"/>
      <c r="G1" s="1"/>
      <c r="H1" s="1"/>
      <c r="I1" s="1"/>
      <c r="J1" s="1"/>
      <c r="K1" s="1"/>
      <c r="L1" s="1"/>
    </row>
    <row r="2" spans="1:12" ht="22.5" customHeight="1" x14ac:dyDescent="0.25">
      <c r="A2" s="3"/>
      <c r="B2" s="3"/>
      <c r="C2" s="3"/>
      <c r="D2" s="3"/>
      <c r="E2" s="3"/>
      <c r="F2" s="3"/>
      <c r="G2" s="3"/>
      <c r="H2" s="3"/>
      <c r="I2" s="3"/>
      <c r="J2" s="3"/>
      <c r="K2" s="3"/>
      <c r="L2" s="3"/>
    </row>
    <row r="3" spans="1:12" ht="23.25" customHeight="1" thickBot="1" x14ac:dyDescent="0.3">
      <c r="A3" s="4"/>
      <c r="B3" s="4"/>
      <c r="C3" s="4"/>
      <c r="D3" s="4"/>
      <c r="E3" s="4"/>
      <c r="F3" s="4"/>
      <c r="G3" s="4"/>
      <c r="H3" s="4"/>
      <c r="I3" s="4"/>
      <c r="J3" s="4"/>
      <c r="K3" s="4"/>
      <c r="L3" s="4"/>
    </row>
    <row r="4" spans="1:12" s="10" customFormat="1" ht="38.25" thickTop="1" x14ac:dyDescent="0.25">
      <c r="A4" s="5" t="s">
        <v>1</v>
      </c>
      <c r="B4" s="6" t="s">
        <v>2</v>
      </c>
      <c r="C4" s="7" t="s">
        <v>3</v>
      </c>
      <c r="D4" s="7" t="s">
        <v>4</v>
      </c>
      <c r="E4" s="7" t="s">
        <v>5</v>
      </c>
      <c r="F4" s="7" t="s">
        <v>6</v>
      </c>
      <c r="G4" s="7" t="s">
        <v>7</v>
      </c>
      <c r="H4" s="8" t="s">
        <v>8</v>
      </c>
      <c r="I4" s="7" t="s">
        <v>9</v>
      </c>
      <c r="J4" s="7" t="s">
        <v>10</v>
      </c>
      <c r="K4" s="7" t="s">
        <v>11</v>
      </c>
      <c r="L4" s="9" t="s">
        <v>12</v>
      </c>
    </row>
    <row r="5" spans="1:12" ht="91.5" x14ac:dyDescent="0.25">
      <c r="A5" s="11">
        <f>IFERROR(LOOKUP(2,1/(ISNUMBER($A$4:$A$4)),$A$4:$A$4),0)+1</f>
        <v>1</v>
      </c>
      <c r="B5" s="12" t="s">
        <v>13</v>
      </c>
      <c r="C5" s="13" t="s">
        <v>14</v>
      </c>
      <c r="D5" s="14"/>
      <c r="E5" s="15"/>
      <c r="F5" s="15"/>
      <c r="G5" s="16"/>
      <c r="H5" s="17"/>
      <c r="I5" s="18"/>
      <c r="J5" s="19"/>
      <c r="K5" s="20"/>
      <c r="L5" s="21"/>
    </row>
    <row r="6" spans="1:12" x14ac:dyDescent="0.25">
      <c r="A6" s="11"/>
      <c r="B6" s="22"/>
      <c r="C6" s="23" t="s">
        <v>15</v>
      </c>
      <c r="D6" s="24">
        <v>2</v>
      </c>
      <c r="E6" s="25">
        <v>90</v>
      </c>
      <c r="F6" s="26">
        <v>3</v>
      </c>
      <c r="G6" s="27">
        <v>3</v>
      </c>
      <c r="H6" s="28">
        <f>D6*IF(OR(E6=0,E6="-"),1,E6)*IF(OR(F6=0,F6="-"),1,F6)*IF(OR(G6=0,G6="-"),1,G6)</f>
        <v>1620</v>
      </c>
      <c r="I6" s="29" t="s">
        <v>16</v>
      </c>
      <c r="J6" s="30"/>
      <c r="K6" s="31"/>
      <c r="L6" s="32"/>
    </row>
    <row r="7" spans="1:12" x14ac:dyDescent="0.25">
      <c r="A7" s="11"/>
      <c r="B7" s="22"/>
      <c r="C7" s="23" t="s">
        <v>17</v>
      </c>
      <c r="D7" s="24">
        <v>3</v>
      </c>
      <c r="E7" s="25">
        <v>55</v>
      </c>
      <c r="F7" s="26">
        <v>3</v>
      </c>
      <c r="G7" s="27">
        <v>3</v>
      </c>
      <c r="H7" s="28">
        <f>D7*IF(OR(E7=0,E7="-"),1,E7)*IF(OR(F7=0,F7="-"),1,F7)*IF(OR(G7=0,G7="-"),1,G7)</f>
        <v>1485</v>
      </c>
      <c r="I7" s="29" t="s">
        <v>16</v>
      </c>
      <c r="J7" s="30"/>
      <c r="K7" s="31"/>
      <c r="L7" s="32"/>
    </row>
    <row r="8" spans="1:12" x14ac:dyDescent="0.25">
      <c r="A8" s="33"/>
      <c r="B8" s="34"/>
      <c r="C8" s="35"/>
      <c r="D8" s="36"/>
      <c r="E8" s="34"/>
      <c r="F8" s="37" t="s">
        <v>18</v>
      </c>
      <c r="G8" s="37"/>
      <c r="H8" s="38">
        <f>SUM(H6:H7)</f>
        <v>3105</v>
      </c>
      <c r="I8" s="39" t="s">
        <v>16</v>
      </c>
      <c r="J8" s="40"/>
      <c r="K8" s="41">
        <f>0</f>
        <v>0</v>
      </c>
      <c r="L8" s="42"/>
    </row>
    <row r="9" spans="1:12" ht="31.5" x14ac:dyDescent="0.25">
      <c r="A9" s="43"/>
      <c r="B9" s="44"/>
      <c r="C9" s="45"/>
      <c r="D9" s="46"/>
      <c r="E9" s="47" t="s">
        <v>19</v>
      </c>
      <c r="F9" s="47"/>
      <c r="G9" s="47"/>
      <c r="H9" s="48">
        <f>ROUND(H8*0.0283,3)</f>
        <v>87.872</v>
      </c>
      <c r="I9" s="49" t="s">
        <v>20</v>
      </c>
      <c r="J9" s="40" t="s">
        <v>21</v>
      </c>
      <c r="K9" s="50">
        <f>IF(B5="4.14.1",IF(J9="Labour Rate",20,IF(J9="Machinery Rate",63,IF(J9="Through Rate",83,0))),"")</f>
        <v>83</v>
      </c>
      <c r="L9" s="51">
        <f>IF(H9*K9&lt;&gt;0,H9*K9,0)</f>
        <v>7293.3760000000002</v>
      </c>
    </row>
    <row r="10" spans="1:12" ht="14.1" customHeight="1" x14ac:dyDescent="0.25">
      <c r="A10" s="52"/>
      <c r="B10" s="53"/>
      <c r="C10" s="54"/>
      <c r="D10" s="55"/>
      <c r="E10" s="53"/>
      <c r="F10" s="56"/>
      <c r="G10" s="57"/>
      <c r="H10" s="48"/>
      <c r="I10" s="58"/>
      <c r="J10" s="40"/>
      <c r="K10" s="50"/>
      <c r="L10" s="59"/>
    </row>
    <row r="11" spans="1:12" ht="76.5" x14ac:dyDescent="0.25">
      <c r="A11" s="11">
        <f>IFERROR(LOOKUP(2,1/(ISNUMBER($A$4:$A$10)),$A$4:$A$10),0)+1</f>
        <v>2</v>
      </c>
      <c r="B11" s="12" t="s">
        <v>22</v>
      </c>
      <c r="C11" s="13" t="s">
        <v>23</v>
      </c>
      <c r="D11" s="14"/>
      <c r="E11" s="15"/>
      <c r="F11" s="15"/>
      <c r="G11" s="15"/>
      <c r="H11" s="17"/>
      <c r="I11" s="18"/>
      <c r="J11" s="60"/>
      <c r="K11" s="61"/>
      <c r="L11" s="62"/>
    </row>
    <row r="12" spans="1:12" x14ac:dyDescent="0.25">
      <c r="A12" s="11"/>
      <c r="B12" s="12"/>
      <c r="C12" s="13"/>
      <c r="D12" s="24">
        <v>2</v>
      </c>
      <c r="E12" s="25">
        <f>(2.75-1.125)+90</f>
        <v>91.625</v>
      </c>
      <c r="F12" s="26">
        <v>3</v>
      </c>
      <c r="G12" s="27">
        <v>0.75</v>
      </c>
      <c r="H12" s="28">
        <f>D12*IF(OR(E12=0,E12="-"),1,E12)*IF(OR(F12=0,F12="-"),1,F12)*IF(OR(G12=0,G12="-"),1,G12)</f>
        <v>412.3125</v>
      </c>
      <c r="I12" s="29" t="s">
        <v>16</v>
      </c>
      <c r="J12" s="30"/>
      <c r="K12" s="63"/>
      <c r="L12" s="64"/>
    </row>
    <row r="13" spans="1:12" x14ac:dyDescent="0.25">
      <c r="A13" s="11"/>
      <c r="B13" s="22"/>
      <c r="C13" s="23"/>
      <c r="D13" s="24">
        <v>3</v>
      </c>
      <c r="E13" s="25">
        <v>55</v>
      </c>
      <c r="F13" s="26">
        <v>3</v>
      </c>
      <c r="G13" s="27">
        <v>0.75</v>
      </c>
      <c r="H13" s="28">
        <f>D13*IF(OR(E13=0,E13="-"),1,E13)*IF(OR(F13=0,F13="-"),1,F13)*IF(OR(G13=0,G13="-"),1,G13)</f>
        <v>371.25</v>
      </c>
      <c r="I13" s="29" t="s">
        <v>16</v>
      </c>
      <c r="J13" s="30"/>
      <c r="K13" s="63"/>
      <c r="L13" s="64"/>
    </row>
    <row r="14" spans="1:12" x14ac:dyDescent="0.25">
      <c r="A14" s="33"/>
      <c r="B14" s="34"/>
      <c r="C14" s="35"/>
      <c r="D14" s="36"/>
      <c r="E14" s="34"/>
      <c r="F14" s="37" t="s">
        <v>18</v>
      </c>
      <c r="G14" s="37"/>
      <c r="H14" s="38">
        <f>SUM(H12:H13)</f>
        <v>783.5625</v>
      </c>
      <c r="I14" s="39" t="s">
        <v>16</v>
      </c>
      <c r="J14" s="40"/>
      <c r="K14" s="65">
        <f>0</f>
        <v>0</v>
      </c>
      <c r="L14" s="66"/>
    </row>
    <row r="15" spans="1:12" ht="31.5" x14ac:dyDescent="0.25">
      <c r="A15" s="43"/>
      <c r="B15" s="44"/>
      <c r="C15" s="45"/>
      <c r="D15" s="46"/>
      <c r="E15" s="47" t="s">
        <v>19</v>
      </c>
      <c r="F15" s="47"/>
      <c r="G15" s="47"/>
      <c r="H15" s="48">
        <f>ROUND(H14*0.0283,3)</f>
        <v>22.175000000000001</v>
      </c>
      <c r="I15" s="67" t="s">
        <v>20</v>
      </c>
      <c r="J15" s="68" t="s">
        <v>21</v>
      </c>
      <c r="K15" s="69">
        <f>IF(B11="6.1.7",IF(J15="Labour Rate",474,IF(J15="Material Rate",1718,IF(J15="Through Rate",2192,0))),"")</f>
        <v>2192</v>
      </c>
      <c r="L15" s="51">
        <f>IF(H15*K15&lt;&gt;0,H15*K15,0)</f>
        <v>48607.6</v>
      </c>
    </row>
    <row r="16" spans="1:12" ht="14.1" customHeight="1" x14ac:dyDescent="0.25">
      <c r="A16" s="52"/>
      <c r="B16" s="53"/>
      <c r="C16" s="54"/>
      <c r="D16" s="55"/>
      <c r="E16" s="55"/>
      <c r="F16" s="70"/>
      <c r="G16" s="57"/>
      <c r="H16" s="48"/>
      <c r="I16" s="71"/>
      <c r="J16" s="68"/>
      <c r="K16" s="69"/>
      <c r="L16" s="59"/>
    </row>
    <row r="17" spans="1:12" ht="51" x14ac:dyDescent="0.25">
      <c r="A17" s="11">
        <f>IFERROR(LOOKUP(2,1/(ISNUMBER($A$4:$A$16)),$A$4:$A$16),0)+1</f>
        <v>3</v>
      </c>
      <c r="B17" s="12" t="s">
        <v>24</v>
      </c>
      <c r="C17" s="13" t="s">
        <v>25</v>
      </c>
      <c r="D17" s="14"/>
      <c r="E17" s="15"/>
      <c r="F17" s="15"/>
      <c r="G17" s="16"/>
      <c r="H17" s="17"/>
      <c r="I17" s="18"/>
      <c r="J17" s="19"/>
      <c r="K17" s="20"/>
      <c r="L17" s="21"/>
    </row>
    <row r="18" spans="1:12" x14ac:dyDescent="0.25">
      <c r="A18" s="11"/>
      <c r="B18" s="22"/>
      <c r="C18" s="23"/>
      <c r="D18" s="24">
        <v>2</v>
      </c>
      <c r="E18" s="25">
        <f>(2.25-1.125)+90</f>
        <v>91.125</v>
      </c>
      <c r="F18" s="24">
        <v>2.25</v>
      </c>
      <c r="G18" s="72">
        <v>0.75</v>
      </c>
      <c r="H18" s="73">
        <f>D18*IF(OR(E18=0,E18="-"),1,E18)*IF(OR(F18=0,F18="-"),1,F18)*IF(OR(G18=0,G18="-"),1,G18)</f>
        <v>307.546875</v>
      </c>
      <c r="I18" s="74" t="s">
        <v>16</v>
      </c>
      <c r="J18" s="75"/>
      <c r="K18" s="31"/>
      <c r="L18" s="32"/>
    </row>
    <row r="19" spans="1:12" x14ac:dyDescent="0.25">
      <c r="A19" s="11"/>
      <c r="B19" s="22"/>
      <c r="C19" s="23"/>
      <c r="D19" s="24">
        <v>2</v>
      </c>
      <c r="E19" s="25">
        <f>(1.875-1.125)+90</f>
        <v>90.75</v>
      </c>
      <c r="F19" s="24">
        <v>1.875</v>
      </c>
      <c r="G19" s="72">
        <v>0.75</v>
      </c>
      <c r="H19" s="73">
        <f>D19*IF(OR(E19=0,E19="-"),1,E19)*IF(OR(F19=0,F19="-"),1,F19)*IF(OR(G19=0,G19="-"),1,G19)</f>
        <v>255.234375</v>
      </c>
      <c r="I19" s="74" t="s">
        <v>16</v>
      </c>
      <c r="J19" s="75"/>
      <c r="K19" s="31"/>
      <c r="L19" s="32"/>
    </row>
    <row r="20" spans="1:12" x14ac:dyDescent="0.25">
      <c r="A20" s="11"/>
      <c r="B20" s="22"/>
      <c r="C20" s="23"/>
      <c r="D20" s="24">
        <v>2</v>
      </c>
      <c r="E20" s="25">
        <f>E19-0.375</f>
        <v>90.375</v>
      </c>
      <c r="F20" s="24">
        <v>1.5</v>
      </c>
      <c r="G20" s="72">
        <v>0.75</v>
      </c>
      <c r="H20" s="73">
        <f>D20*IF(OR(E20=0,E20="-"),1,E20)*IF(OR(F20=0,F20="-"),1,F20)*IF(OR(G20=0,G20="-"),1,G20)</f>
        <v>203.34375</v>
      </c>
      <c r="I20" s="74" t="s">
        <v>16</v>
      </c>
      <c r="J20" s="75"/>
      <c r="K20" s="31"/>
      <c r="L20" s="32"/>
    </row>
    <row r="21" spans="1:12" x14ac:dyDescent="0.25">
      <c r="A21" s="11"/>
      <c r="B21" s="22"/>
      <c r="C21" s="23"/>
      <c r="D21" s="24">
        <v>2</v>
      </c>
      <c r="E21" s="25">
        <f>E20-0.375</f>
        <v>90</v>
      </c>
      <c r="F21" s="24">
        <v>1.125</v>
      </c>
      <c r="G21" s="72">
        <f>(6.5+2)/2</f>
        <v>4.25</v>
      </c>
      <c r="H21" s="73">
        <f>D21*IF(OR(E21=0,E21="-"),1,E21)*IF(OR(F21=0,F21="-"),1,F21)*IF(OR(G21=0,G21="-"),1,G21)</f>
        <v>860.625</v>
      </c>
      <c r="I21" s="74" t="s">
        <v>16</v>
      </c>
      <c r="J21" s="75"/>
      <c r="K21" s="31"/>
      <c r="L21" s="32"/>
    </row>
    <row r="22" spans="1:12" x14ac:dyDescent="0.25">
      <c r="A22" s="11"/>
      <c r="B22" s="22"/>
      <c r="C22" s="23"/>
      <c r="D22" s="24">
        <v>3</v>
      </c>
      <c r="E22" s="25">
        <f>55-1.125</f>
        <v>53.875</v>
      </c>
      <c r="F22" s="24">
        <v>2.25</v>
      </c>
      <c r="G22" s="72">
        <v>0.5</v>
      </c>
      <c r="H22" s="73">
        <f>D22*IF(OR(E22=0,E22="-"),1,E22)*IF(OR(F22=0,F22="-"),1,F22)*IF(OR(G22=0,G22="-"),1,G22)</f>
        <v>181.828125</v>
      </c>
      <c r="I22" s="74" t="s">
        <v>16</v>
      </c>
      <c r="J22" s="75"/>
      <c r="K22" s="31"/>
      <c r="L22" s="32"/>
    </row>
    <row r="23" spans="1:12" x14ac:dyDescent="0.25">
      <c r="A23" s="11"/>
      <c r="B23" s="22"/>
      <c r="C23" s="23"/>
      <c r="D23" s="24">
        <v>3</v>
      </c>
      <c r="E23" s="25">
        <f>E22+0.375</f>
        <v>54.25</v>
      </c>
      <c r="F23" s="24">
        <v>1.875</v>
      </c>
      <c r="G23" s="72">
        <v>0.5</v>
      </c>
      <c r="H23" s="73">
        <f>D23*IF(OR(E23=0,E23="-"),1,E23)*IF(OR(F23=0,F23="-"),1,F23)*IF(OR(G23=0,G23="-"),1,G23)</f>
        <v>152.578125</v>
      </c>
      <c r="I23" s="74" t="s">
        <v>16</v>
      </c>
      <c r="J23" s="75"/>
      <c r="K23" s="31"/>
      <c r="L23" s="32"/>
    </row>
    <row r="24" spans="1:12" x14ac:dyDescent="0.25">
      <c r="A24" s="11"/>
      <c r="B24" s="22"/>
      <c r="C24" s="23"/>
      <c r="D24" s="24">
        <v>3</v>
      </c>
      <c r="E24" s="25">
        <f>E23+0.375</f>
        <v>54.625</v>
      </c>
      <c r="F24" s="24">
        <v>1.5</v>
      </c>
      <c r="G24" s="72">
        <v>0.5</v>
      </c>
      <c r="H24" s="73">
        <f>D24*IF(OR(E24=0,E24="-"),1,E24)*IF(OR(F24=0,F24="-"),1,F24)*IF(OR(G24=0,G24="-"),1,G24)</f>
        <v>122.90625</v>
      </c>
      <c r="I24" s="74" t="s">
        <v>16</v>
      </c>
      <c r="J24" s="75"/>
      <c r="K24" s="31"/>
      <c r="L24" s="32"/>
    </row>
    <row r="25" spans="1:12" x14ac:dyDescent="0.25">
      <c r="A25" s="11"/>
      <c r="B25" s="22"/>
      <c r="C25" s="23"/>
      <c r="D25" s="24">
        <v>3</v>
      </c>
      <c r="E25" s="25">
        <f>E24+0.375</f>
        <v>55</v>
      </c>
      <c r="F25" s="24">
        <v>1.125</v>
      </c>
      <c r="G25" s="72">
        <v>1.5</v>
      </c>
      <c r="H25" s="73">
        <f>D25*IF(OR(E25=0,E25="-"),1,E25)*IF(OR(F25=0,F25="-"),1,F25)*IF(OR(G25=0,G25="-"),1,G25)</f>
        <v>278.4375</v>
      </c>
      <c r="I25" s="74" t="s">
        <v>16</v>
      </c>
      <c r="J25" s="75"/>
      <c r="K25" s="31"/>
      <c r="L25" s="32"/>
    </row>
    <row r="26" spans="1:12" x14ac:dyDescent="0.25">
      <c r="A26" s="33"/>
      <c r="B26" s="34"/>
      <c r="C26" s="35"/>
      <c r="D26" s="36"/>
      <c r="E26" s="36"/>
      <c r="F26" s="76" t="s">
        <v>18</v>
      </c>
      <c r="G26" s="76"/>
      <c r="H26" s="38">
        <f>SUM(H18:H25)</f>
        <v>2362.5</v>
      </c>
      <c r="I26" s="77" t="s">
        <v>16</v>
      </c>
      <c r="J26" s="68"/>
      <c r="K26" s="65">
        <f>0</f>
        <v>0</v>
      </c>
      <c r="L26" s="66"/>
    </row>
    <row r="27" spans="1:12" ht="47.25" x14ac:dyDescent="0.25">
      <c r="A27" s="43"/>
      <c r="B27" s="44"/>
      <c r="C27" s="45"/>
      <c r="D27" s="46"/>
      <c r="E27" s="47" t="s">
        <v>19</v>
      </c>
      <c r="F27" s="47"/>
      <c r="G27" s="47"/>
      <c r="H27" s="48">
        <f>ROUND(H26*0.0283,3)</f>
        <v>66.858999999999995</v>
      </c>
      <c r="I27" s="67" t="s">
        <v>20</v>
      </c>
      <c r="J27" s="68" t="s">
        <v>26</v>
      </c>
      <c r="K27" s="69">
        <f>IF(B17="7.21.1",IF(J27="Labour Rate Amnd",820,IF(J27="Material Rate Amnd",3309,IF(J27="Through Rate Amnd",4128,IF(J27="Labour Rate",384,IF(J27="Material Rate",3309,IF(J27="Through Rate",3693,0)))))),"")</f>
        <v>4128</v>
      </c>
      <c r="L27" s="51">
        <f>IF(H27*K27&lt;&gt;0,H27*K27,0)</f>
        <v>275993.95199999999</v>
      </c>
    </row>
    <row r="28" spans="1:12" ht="14.1" customHeight="1" x14ac:dyDescent="0.25">
      <c r="A28" s="52"/>
      <c r="B28" s="53"/>
      <c r="C28" s="54"/>
      <c r="D28" s="55"/>
      <c r="E28" s="55"/>
      <c r="F28" s="70"/>
      <c r="G28" s="57"/>
      <c r="H28" s="78"/>
      <c r="I28" s="71"/>
      <c r="J28" s="68"/>
      <c r="K28" s="69"/>
      <c r="L28" s="79"/>
    </row>
    <row r="29" spans="1:12" ht="108" x14ac:dyDescent="0.25">
      <c r="A29" s="11">
        <f>IFERROR(LOOKUP(2,1/(ISNUMBER($A$4:$A$28)),$A$4:$A$28),0)+1</f>
        <v>4</v>
      </c>
      <c r="B29" s="12" t="s">
        <v>27</v>
      </c>
      <c r="C29" s="80" t="s">
        <v>28</v>
      </c>
      <c r="D29" s="14"/>
      <c r="E29" s="15"/>
      <c r="F29" s="81"/>
      <c r="G29" s="82"/>
      <c r="H29" s="83"/>
      <c r="I29" s="84"/>
      <c r="J29" s="85"/>
      <c r="K29" s="86"/>
      <c r="L29" s="62"/>
    </row>
    <row r="30" spans="1:12" x14ac:dyDescent="0.25">
      <c r="A30" s="11"/>
      <c r="B30" s="22"/>
      <c r="C30" s="23"/>
      <c r="D30" s="24">
        <v>2</v>
      </c>
      <c r="E30" s="24">
        <v>55</v>
      </c>
      <c r="F30" s="87">
        <f>(90-1.125)/2</f>
        <v>44.4375</v>
      </c>
      <c r="G30" s="88">
        <v>2.5</v>
      </c>
      <c r="H30" s="48">
        <f>D30*IF(OR(E30=0,E30="-"),1,E30)*IF(OR(F30=0,F30="-"),1,F30)*IF(OR(G30=0,G30="-"),1,G30)</f>
        <v>12220.3125</v>
      </c>
      <c r="I30" s="74" t="s">
        <v>16</v>
      </c>
      <c r="J30" s="68"/>
      <c r="K30" s="69"/>
      <c r="L30" s="64"/>
    </row>
    <row r="31" spans="1:12" x14ac:dyDescent="0.25">
      <c r="A31" s="33"/>
      <c r="B31" s="34"/>
      <c r="C31" s="35"/>
      <c r="D31" s="36"/>
      <c r="E31" s="36"/>
      <c r="F31" s="76" t="s">
        <v>18</v>
      </c>
      <c r="G31" s="76"/>
      <c r="H31" s="78">
        <f>SUM(H30:H30)</f>
        <v>12220.3125</v>
      </c>
      <c r="I31" s="77" t="s">
        <v>16</v>
      </c>
      <c r="J31" s="68"/>
      <c r="K31" s="65">
        <f>0</f>
        <v>0</v>
      </c>
      <c r="L31" s="42"/>
    </row>
    <row r="32" spans="1:12" ht="31.5" x14ac:dyDescent="0.25">
      <c r="A32" s="43"/>
      <c r="B32" s="44"/>
      <c r="C32" s="45"/>
      <c r="D32" s="46"/>
      <c r="E32" s="89" t="s">
        <v>19</v>
      </c>
      <c r="F32" s="89"/>
      <c r="G32" s="89"/>
      <c r="H32" s="48">
        <f>ROUND(H31*0.0283,3)</f>
        <v>345.83499999999998</v>
      </c>
      <c r="I32" s="67" t="s">
        <v>20</v>
      </c>
      <c r="J32" s="68" t="s">
        <v>21</v>
      </c>
      <c r="K32" s="69">
        <f>IF(B29="4.37",IF(J32="Labour Rate",70,IF(J32="Through Rate",70,0)),"")</f>
        <v>70</v>
      </c>
      <c r="L32" s="90">
        <f>IF(H32*K32&lt;&gt;0,H32*K32,0)</f>
        <v>24208.449999999997</v>
      </c>
    </row>
    <row r="33" spans="1:12" ht="14.1" customHeight="1" x14ac:dyDescent="0.25">
      <c r="A33" s="52"/>
      <c r="B33" s="53"/>
      <c r="C33" s="54"/>
      <c r="D33" s="55"/>
      <c r="E33" s="55"/>
      <c r="F33" s="70"/>
      <c r="G33" s="57"/>
      <c r="H33" s="78"/>
      <c r="I33" s="71"/>
      <c r="J33" s="68"/>
      <c r="K33" s="69"/>
      <c r="L33" s="79"/>
    </row>
    <row r="34" spans="1:12" ht="49.5" x14ac:dyDescent="0.25">
      <c r="A34" s="11">
        <f>IFERROR(LOOKUP(2,1/(ISNUMBER($A$4:$A$33)),$A$4:$A$33),0)+1</f>
        <v>5</v>
      </c>
      <c r="B34" s="12" t="s">
        <v>29</v>
      </c>
      <c r="C34" s="91" t="s">
        <v>30</v>
      </c>
      <c r="D34" s="14"/>
      <c r="E34" s="15"/>
      <c r="F34" s="81"/>
      <c r="G34" s="82"/>
      <c r="H34" s="83"/>
      <c r="I34" s="84"/>
      <c r="J34" s="85"/>
      <c r="K34" s="86"/>
      <c r="L34" s="62"/>
    </row>
    <row r="35" spans="1:12" x14ac:dyDescent="0.25">
      <c r="A35" s="11"/>
      <c r="B35" s="22"/>
      <c r="C35" s="23"/>
      <c r="D35" s="24">
        <v>2</v>
      </c>
      <c r="E35" s="24">
        <v>55</v>
      </c>
      <c r="F35" s="87">
        <f>(90-1.125)/2</f>
        <v>44.4375</v>
      </c>
      <c r="G35" s="88">
        <v>0.33300000000000002</v>
      </c>
      <c r="H35" s="48">
        <f>D35*IF(OR(E35=0,E35="-"),1,E35)*IF(OR(F35=0,F35="-"),1,F35)*IF(OR(G35=0,G35="-"),1,G35)</f>
        <v>1627.745625</v>
      </c>
      <c r="I35" s="74" t="s">
        <v>16</v>
      </c>
      <c r="J35" s="68"/>
      <c r="K35" s="69"/>
      <c r="L35" s="64"/>
    </row>
    <row r="36" spans="1:12" x14ac:dyDescent="0.25">
      <c r="A36" s="33"/>
      <c r="B36" s="34"/>
      <c r="C36" s="35"/>
      <c r="D36" s="36"/>
      <c r="E36" s="36"/>
      <c r="F36" s="92" t="s">
        <v>18</v>
      </c>
      <c r="G36" s="92"/>
      <c r="H36" s="78">
        <f>SUM(H35:H35)</f>
        <v>1627.745625</v>
      </c>
      <c r="I36" s="77" t="s">
        <v>16</v>
      </c>
      <c r="J36" s="68"/>
      <c r="K36" s="65">
        <f>0</f>
        <v>0</v>
      </c>
      <c r="L36" s="42"/>
    </row>
    <row r="37" spans="1:12" ht="31.5" x14ac:dyDescent="0.25">
      <c r="A37" s="43"/>
      <c r="B37" s="44"/>
      <c r="C37" s="45"/>
      <c r="D37" s="46"/>
      <c r="E37" s="89" t="s">
        <v>19</v>
      </c>
      <c r="F37" s="89"/>
      <c r="G37" s="89"/>
      <c r="H37" s="48">
        <f>ROUND(H36*0.0283,3)</f>
        <v>46.064999999999998</v>
      </c>
      <c r="I37" s="67" t="s">
        <v>20</v>
      </c>
      <c r="J37" s="68" t="s">
        <v>21</v>
      </c>
      <c r="K37" s="69">
        <f>IF(B34="10.100.2",IF(J37="Labour Rate",274,IF(J37="Material Rate",1588,IF(J37="Through Rate",1863,0))),"")</f>
        <v>1863</v>
      </c>
      <c r="L37" s="90">
        <f>IF(H37*K37&lt;&gt;0,H37*K37,0)</f>
        <v>85819.095000000001</v>
      </c>
    </row>
    <row r="38" spans="1:12" ht="14.1" customHeight="1" x14ac:dyDescent="0.25">
      <c r="A38" s="52"/>
      <c r="B38" s="53"/>
      <c r="C38" s="54"/>
      <c r="D38" s="55"/>
      <c r="E38" s="55"/>
      <c r="F38" s="70"/>
      <c r="G38" s="57"/>
      <c r="H38" s="78"/>
      <c r="I38" s="71"/>
      <c r="J38" s="68"/>
      <c r="K38" s="69"/>
      <c r="L38" s="79"/>
    </row>
    <row r="39" spans="1:12" ht="78" x14ac:dyDescent="0.25">
      <c r="A39" s="11">
        <f>IFERROR(LOOKUP(2,1/(ISNUMBER($A$4:$A$38)),$A$4:$A$38),0)+1</f>
        <v>6</v>
      </c>
      <c r="B39" s="12" t="s">
        <v>31</v>
      </c>
      <c r="C39" s="80" t="s">
        <v>32</v>
      </c>
      <c r="D39" s="14"/>
      <c r="E39" s="15"/>
      <c r="F39" s="81"/>
      <c r="G39" s="82"/>
      <c r="H39" s="83"/>
      <c r="I39" s="84"/>
      <c r="J39" s="85"/>
      <c r="K39" s="86"/>
      <c r="L39" s="62"/>
    </row>
    <row r="40" spans="1:12" x14ac:dyDescent="0.25">
      <c r="A40" s="11"/>
      <c r="B40" s="22"/>
      <c r="C40" s="23"/>
      <c r="D40" s="24">
        <v>1</v>
      </c>
      <c r="E40" s="24">
        <v>55</v>
      </c>
      <c r="F40" s="87">
        <v>90</v>
      </c>
      <c r="G40" s="88"/>
      <c r="H40" s="48">
        <f>D40*IF(OR(E40=0,E40="-"),1,E40)*IF(OR(F40=0,F40="-"),1,F40)*IF(OR(G40=0,G40="-"),1,G40)</f>
        <v>4950</v>
      </c>
      <c r="I40" s="74" t="s">
        <v>33</v>
      </c>
      <c r="J40" s="68"/>
      <c r="K40" s="69"/>
      <c r="L40" s="64"/>
    </row>
    <row r="41" spans="1:12" x14ac:dyDescent="0.25">
      <c r="A41" s="33"/>
      <c r="B41" s="34"/>
      <c r="C41" s="35"/>
      <c r="D41" s="36"/>
      <c r="E41" s="36"/>
      <c r="F41" s="92" t="s">
        <v>34</v>
      </c>
      <c r="G41" s="92"/>
      <c r="H41" s="78">
        <f>SUM(H40:H40)</f>
        <v>4950</v>
      </c>
      <c r="I41" s="77" t="s">
        <v>33</v>
      </c>
      <c r="J41" s="68"/>
      <c r="K41" s="65">
        <f>0</f>
        <v>0</v>
      </c>
      <c r="L41" s="42"/>
    </row>
    <row r="42" spans="1:12" ht="31.5" x14ac:dyDescent="0.25">
      <c r="A42" s="43"/>
      <c r="B42" s="44"/>
      <c r="C42" s="45"/>
      <c r="D42" s="46"/>
      <c r="E42" s="89" t="s">
        <v>35</v>
      </c>
      <c r="F42" s="89"/>
      <c r="G42" s="89"/>
      <c r="H42" s="48">
        <f>ROUND(H41*0.0929,3)</f>
        <v>459.85500000000002</v>
      </c>
      <c r="I42" s="67" t="s">
        <v>36</v>
      </c>
      <c r="J42" s="68" t="s">
        <v>21</v>
      </c>
      <c r="K42" s="69">
        <f>IF(B39="10.33.1",IF(J42="Labour Rate",104,IF(J42="Material Rate",473,IF(J42="Through Rate",577,0))),"")</f>
        <v>577</v>
      </c>
      <c r="L42" s="90">
        <f>IF(H42*K42&lt;&gt;0,H42*K42,0)</f>
        <v>265336.33500000002</v>
      </c>
    </row>
    <row r="43" spans="1:12" ht="14.1" customHeight="1" x14ac:dyDescent="0.25">
      <c r="A43" s="52"/>
      <c r="B43" s="53"/>
      <c r="C43" s="54"/>
      <c r="D43" s="55"/>
      <c r="E43" s="55"/>
      <c r="F43" s="70"/>
      <c r="G43" s="57"/>
      <c r="H43" s="78"/>
      <c r="I43" s="71"/>
      <c r="J43" s="68"/>
      <c r="K43" s="69"/>
      <c r="L43" s="79"/>
    </row>
    <row r="44" spans="1:12" ht="40.5" x14ac:dyDescent="0.25">
      <c r="A44" s="11">
        <f>IFERROR(LOOKUP(2,1/(ISNUMBER($A$4:$A$43)),$A$4:$A$43),0)+1</f>
        <v>7</v>
      </c>
      <c r="B44" s="12" t="s">
        <v>37</v>
      </c>
      <c r="C44" s="80" t="s">
        <v>38</v>
      </c>
      <c r="D44" s="14"/>
      <c r="E44" s="15"/>
      <c r="F44" s="15"/>
      <c r="G44" s="16"/>
      <c r="H44" s="17"/>
      <c r="I44" s="84"/>
      <c r="J44" s="93"/>
      <c r="K44" s="86"/>
      <c r="L44" s="62"/>
    </row>
    <row r="45" spans="1:12" x14ac:dyDescent="0.25">
      <c r="A45" s="11"/>
      <c r="B45" s="22"/>
      <c r="C45" s="23"/>
      <c r="D45" s="24">
        <v>2</v>
      </c>
      <c r="E45" s="24">
        <v>90</v>
      </c>
      <c r="F45" s="24">
        <v>1.125</v>
      </c>
      <c r="G45" s="72"/>
      <c r="H45" s="73">
        <f>D45*IF(OR(E45=0,E45="-"),1,E45)*IF(OR(F45=0,F45="-"),1,F45)*IF(OR(G45=0,G45="-"),1,G45)</f>
        <v>202.5</v>
      </c>
      <c r="I45" s="74" t="s">
        <v>33</v>
      </c>
      <c r="J45" s="75"/>
      <c r="K45" s="69"/>
      <c r="L45" s="64"/>
    </row>
    <row r="46" spans="1:12" x14ac:dyDescent="0.25">
      <c r="A46" s="11"/>
      <c r="B46" s="22"/>
      <c r="C46" s="23"/>
      <c r="D46" s="24">
        <v>2</v>
      </c>
      <c r="E46" s="24">
        <v>55</v>
      </c>
      <c r="F46" s="24">
        <v>1.125</v>
      </c>
      <c r="G46" s="72"/>
      <c r="H46" s="73">
        <f>D46*IF(OR(E46=0,E46="-"),1,E46)*IF(OR(F46=0,F46="-"),1,F46)*IF(OR(G46=0,G46="-"),1,G46)</f>
        <v>123.75</v>
      </c>
      <c r="I46" s="74" t="s">
        <v>33</v>
      </c>
      <c r="J46" s="75"/>
      <c r="K46" s="69"/>
      <c r="L46" s="64"/>
    </row>
    <row r="47" spans="1:12" x14ac:dyDescent="0.25">
      <c r="A47" s="33"/>
      <c r="B47" s="34"/>
      <c r="C47" s="35"/>
      <c r="D47" s="36"/>
      <c r="E47" s="36"/>
      <c r="F47" s="94" t="s">
        <v>34</v>
      </c>
      <c r="G47" s="94"/>
      <c r="H47" s="95">
        <f>SUM(H45:H46)</f>
        <v>326.25</v>
      </c>
      <c r="I47" s="77" t="s">
        <v>33</v>
      </c>
      <c r="J47" s="68"/>
      <c r="K47" s="65">
        <f>0</f>
        <v>0</v>
      </c>
      <c r="L47" s="66"/>
    </row>
    <row r="48" spans="1:12" ht="31.5" x14ac:dyDescent="0.25">
      <c r="A48" s="43"/>
      <c r="B48" s="44"/>
      <c r="C48" s="45"/>
      <c r="D48" s="46"/>
      <c r="E48" s="47" t="s">
        <v>35</v>
      </c>
      <c r="F48" s="47"/>
      <c r="G48" s="47"/>
      <c r="H48" s="48">
        <f>ROUND(H47*0.0929,3)</f>
        <v>30.309000000000001</v>
      </c>
      <c r="I48" s="67" t="s">
        <v>36</v>
      </c>
      <c r="J48" s="68" t="s">
        <v>21</v>
      </c>
      <c r="K48" s="69">
        <f>IF(B44="10.7",IF(J48="Labour Rate",77,IF(J48="Material Rate",139,IF(J48="Through Rate",216,0))),"")</f>
        <v>216</v>
      </c>
      <c r="L48" s="51">
        <f>IF(H48*K48&lt;&gt;0,H48*K48,0)</f>
        <v>6546.7440000000006</v>
      </c>
    </row>
    <row r="49" spans="1:12" ht="14.1" customHeight="1" x14ac:dyDescent="0.25">
      <c r="A49" s="52"/>
      <c r="B49" s="53"/>
      <c r="C49" s="54"/>
      <c r="D49" s="55"/>
      <c r="E49" s="55"/>
      <c r="F49" s="70"/>
      <c r="G49" s="57"/>
      <c r="H49" s="78"/>
      <c r="I49" s="71"/>
      <c r="J49" s="68"/>
      <c r="K49" s="69"/>
      <c r="L49" s="79"/>
    </row>
    <row r="50" spans="1:12" ht="90" x14ac:dyDescent="0.25">
      <c r="A50" s="11">
        <f>IFERROR(LOOKUP(2,1/(ISNUMBER($A$4:$A$49)),$A$4:$A$49),0)+1</f>
        <v>8</v>
      </c>
      <c r="B50" s="96" t="s">
        <v>39</v>
      </c>
      <c r="C50" s="80" t="s">
        <v>40</v>
      </c>
      <c r="D50" s="14"/>
      <c r="E50" s="15"/>
      <c r="F50" s="81"/>
      <c r="G50" s="97"/>
      <c r="H50" s="98"/>
      <c r="I50" s="84"/>
      <c r="J50" s="93"/>
      <c r="K50" s="86"/>
      <c r="L50" s="62"/>
    </row>
    <row r="51" spans="1:12" ht="18.75" x14ac:dyDescent="0.25">
      <c r="A51" s="11"/>
      <c r="B51" s="99"/>
      <c r="C51" s="100"/>
      <c r="D51" s="101">
        <v>1</v>
      </c>
      <c r="E51" s="101">
        <v>55</v>
      </c>
      <c r="F51" s="102">
        <v>8</v>
      </c>
      <c r="G51" s="101">
        <v>0.75</v>
      </c>
      <c r="H51" s="103">
        <f>D51*IF(OR(E51=0,E51="-"),1,E51)*IF(OR(F51=0,F51="-"),1,F51)*IF(OR(G51=0,G51="-"),1,G51)</f>
        <v>330</v>
      </c>
      <c r="I51" s="104" t="s">
        <v>16</v>
      </c>
      <c r="J51" s="105"/>
      <c r="K51" s="106"/>
      <c r="L51" s="107"/>
    </row>
    <row r="52" spans="1:12" ht="18.75" x14ac:dyDescent="0.25">
      <c r="A52" s="33"/>
      <c r="B52" s="108"/>
      <c r="C52" s="109"/>
      <c r="D52" s="110"/>
      <c r="E52" s="110"/>
      <c r="F52" s="111" t="s">
        <v>18</v>
      </c>
      <c r="G52" s="111"/>
      <c r="H52" s="112">
        <f>SUM(H51:H51)</f>
        <v>330</v>
      </c>
      <c r="I52" s="113" t="s">
        <v>16</v>
      </c>
      <c r="J52" s="114"/>
      <c r="K52" s="115">
        <f>0</f>
        <v>0</v>
      </c>
      <c r="L52" s="116"/>
    </row>
    <row r="53" spans="1:12" ht="31.5" x14ac:dyDescent="0.25">
      <c r="A53" s="43"/>
      <c r="B53" s="117"/>
      <c r="C53" s="118"/>
      <c r="D53" s="119"/>
      <c r="E53" s="120" t="s">
        <v>19</v>
      </c>
      <c r="F53" s="120"/>
      <c r="G53" s="120"/>
      <c r="H53" s="121">
        <f>ROUND(H52*0.0283,3)</f>
        <v>9.3390000000000004</v>
      </c>
      <c r="I53" s="122" t="s">
        <v>20</v>
      </c>
      <c r="J53" s="114" t="s">
        <v>21</v>
      </c>
      <c r="K53" s="123">
        <f>IF(B50="6.14.1",IF(J53="Labour Rate",1172,IF(J53="Material Rate",3203,IF(J53="Through Rate",4374,0))),"")</f>
        <v>4374</v>
      </c>
      <c r="L53" s="124">
        <f>IF(H53*K53&lt;&gt;0,H53*K53,0)</f>
        <v>40848.786</v>
      </c>
    </row>
    <row r="54" spans="1:12" ht="14.1" customHeight="1" x14ac:dyDescent="0.25">
      <c r="A54" s="52"/>
      <c r="B54" s="53"/>
      <c r="C54" s="54"/>
      <c r="D54" s="55"/>
      <c r="E54" s="55"/>
      <c r="F54" s="70"/>
      <c r="G54" s="57"/>
      <c r="H54" s="78"/>
      <c r="I54" s="71"/>
      <c r="J54" s="68"/>
      <c r="K54" s="69"/>
      <c r="L54" s="79"/>
    </row>
    <row r="55" spans="1:12" ht="64.5" x14ac:dyDescent="0.25">
      <c r="A55" s="11">
        <f>IFERROR(LOOKUP(2,1/(ISNUMBER($A$4:$A$54)),$A$4:$A$54),0)+1</f>
        <v>9</v>
      </c>
      <c r="B55" s="12" t="s">
        <v>41</v>
      </c>
      <c r="C55" s="80" t="s">
        <v>42</v>
      </c>
      <c r="D55" s="14"/>
      <c r="E55" s="15"/>
      <c r="F55" s="81"/>
      <c r="G55" s="82"/>
      <c r="H55" s="83"/>
      <c r="I55" s="84"/>
      <c r="J55" s="85"/>
      <c r="K55" s="86"/>
      <c r="L55" s="62"/>
    </row>
    <row r="56" spans="1:12" x14ac:dyDescent="0.25">
      <c r="A56" s="11"/>
      <c r="B56" s="22"/>
      <c r="C56" s="23"/>
      <c r="D56" s="24">
        <v>2</v>
      </c>
      <c r="E56" s="24">
        <v>90</v>
      </c>
      <c r="F56" s="87">
        <v>4.25</v>
      </c>
      <c r="G56" s="88"/>
      <c r="H56" s="73">
        <f>D56*IF(OR(E56=0,E56="-"),1,E56)*IF(OR(F56=0,F56="-"),1,F56)*IF(OR(G56=0,G56="-"),1,G56)</f>
        <v>765</v>
      </c>
      <c r="I56" s="74" t="s">
        <v>33</v>
      </c>
      <c r="J56" s="75"/>
      <c r="K56" s="69"/>
      <c r="L56" s="64"/>
    </row>
    <row r="57" spans="1:12" x14ac:dyDescent="0.25">
      <c r="A57" s="33"/>
      <c r="B57" s="34"/>
      <c r="C57" s="35"/>
      <c r="D57" s="36"/>
      <c r="E57" s="36"/>
      <c r="F57" s="92" t="s">
        <v>34</v>
      </c>
      <c r="G57" s="92"/>
      <c r="H57" s="78">
        <f>SUM(H56:H56)</f>
        <v>765</v>
      </c>
      <c r="I57" s="77" t="s">
        <v>33</v>
      </c>
      <c r="J57" s="68"/>
      <c r="K57" s="65">
        <f>0</f>
        <v>0</v>
      </c>
      <c r="L57" s="42"/>
    </row>
    <row r="58" spans="1:12" s="126" customFormat="1" ht="47.25" x14ac:dyDescent="0.25">
      <c r="A58" s="43"/>
      <c r="B58" s="44"/>
      <c r="C58" s="45"/>
      <c r="D58" s="46"/>
      <c r="E58" s="89" t="s">
        <v>35</v>
      </c>
      <c r="F58" s="89"/>
      <c r="G58" s="89"/>
      <c r="H58" s="48">
        <f>ROUND(H57*0.0929,3)</f>
        <v>71.069000000000003</v>
      </c>
      <c r="I58" s="67" t="s">
        <v>36</v>
      </c>
      <c r="J58" s="68" t="s">
        <v>26</v>
      </c>
      <c r="K58" s="125">
        <f>IF(B55="11.12.2",IF(J58="Labour Rate Amnd",97,IF(J58="Material Rate Amnd",62,IF(J58="Through Rate Amnd",159,IF(J58="Labour Rate",68,IF(J58="Material Rate",62,IF(J58="Through Rate",129,0)))))),"")</f>
        <v>159</v>
      </c>
      <c r="L58" s="90">
        <f>IF(H58*K58&lt;&gt;0,H58*K58,0)</f>
        <v>11299.971</v>
      </c>
    </row>
    <row r="59" spans="1:12" s="126" customFormat="1" ht="14.1" customHeight="1" x14ac:dyDescent="0.25">
      <c r="A59" s="52"/>
      <c r="B59" s="53"/>
      <c r="C59" s="127"/>
      <c r="D59" s="128"/>
      <c r="E59" s="128"/>
      <c r="F59" s="128"/>
      <c r="G59" s="128"/>
      <c r="H59" s="48"/>
      <c r="I59" s="129"/>
      <c r="J59" s="68"/>
      <c r="K59" s="125"/>
      <c r="L59" s="130"/>
    </row>
    <row r="60" spans="1:12" s="126" customFormat="1" ht="64.5" x14ac:dyDescent="0.25">
      <c r="A60" s="11">
        <f>IFERROR(LOOKUP(2,1/(ISNUMBER($A$4:$A$59)),$A$4:$A$59),0)+1</f>
        <v>10</v>
      </c>
      <c r="B60" s="12" t="s">
        <v>43</v>
      </c>
      <c r="C60" s="131" t="s">
        <v>44</v>
      </c>
      <c r="D60" s="132"/>
      <c r="E60" s="133"/>
      <c r="F60" s="133"/>
      <c r="G60" s="133"/>
      <c r="H60" s="134"/>
      <c r="I60" s="135"/>
      <c r="J60" s="85"/>
      <c r="K60" s="136"/>
      <c r="L60" s="137"/>
    </row>
    <row r="61" spans="1:12" s="126" customFormat="1" x14ac:dyDescent="0.25">
      <c r="A61" s="43"/>
      <c r="B61" s="44"/>
      <c r="C61" s="45"/>
      <c r="D61" s="46">
        <v>2</v>
      </c>
      <c r="E61" s="46">
        <v>90</v>
      </c>
      <c r="F61" s="46">
        <v>4.25</v>
      </c>
      <c r="G61" s="46"/>
      <c r="H61" s="48">
        <f>D61*IF(OR(E61=0,E61="-"),1,E61)*IF(OR(F61=0,F61="-"),1,F61)*IF(OR(G61=0,G61="-"),1,G61)</f>
        <v>765</v>
      </c>
      <c r="I61" s="67" t="s">
        <v>33</v>
      </c>
      <c r="J61" s="68"/>
      <c r="K61" s="125"/>
      <c r="L61" s="90"/>
    </row>
    <row r="62" spans="1:12" s="126" customFormat="1" x14ac:dyDescent="0.25">
      <c r="A62" s="33"/>
      <c r="B62" s="34"/>
      <c r="C62" s="35"/>
      <c r="D62" s="36"/>
      <c r="E62" s="36"/>
      <c r="F62" s="94" t="s">
        <v>34</v>
      </c>
      <c r="G62" s="94"/>
      <c r="H62" s="48">
        <f>SUM(H61:H61)</f>
        <v>765</v>
      </c>
      <c r="I62" s="138" t="s">
        <v>33</v>
      </c>
      <c r="J62" s="68"/>
      <c r="K62" s="41">
        <f>0</f>
        <v>0</v>
      </c>
      <c r="L62" s="139"/>
    </row>
    <row r="63" spans="1:12" s="126" customFormat="1" ht="47.25" x14ac:dyDescent="0.25">
      <c r="A63" s="140" t="s">
        <v>45</v>
      </c>
      <c r="B63" s="44"/>
      <c r="C63" s="45"/>
      <c r="D63" s="46"/>
      <c r="E63" s="89" t="s">
        <v>35</v>
      </c>
      <c r="F63" s="89"/>
      <c r="G63" s="89"/>
      <c r="H63" s="48">
        <f>ROUND(H62*0.0929,3)</f>
        <v>71.069000000000003</v>
      </c>
      <c r="I63" s="67" t="s">
        <v>36</v>
      </c>
      <c r="J63" s="68" t="s">
        <v>26</v>
      </c>
      <c r="K63" s="125">
        <f>IF(B60="11.11.2",IF(J63="Labour Rate Amnd",81,IF(J63="Material Rate Amnd",54,IF(J63="Through Rate Amnd",135,IF(J63="Labour Rate",56,IF(J63="Material Rate",54,IF(J63="Through Rate",110,0)))))),"")</f>
        <v>135</v>
      </c>
      <c r="L63" s="90">
        <f>IF(H63*K63&lt;&gt;0,H63*K63,0)</f>
        <v>9594.3150000000005</v>
      </c>
    </row>
    <row r="64" spans="1:12" ht="14.1" customHeight="1" thickBot="1" x14ac:dyDescent="0.3">
      <c r="A64" s="141"/>
      <c r="B64" s="142"/>
      <c r="C64" s="143"/>
      <c r="D64" s="143"/>
      <c r="E64" s="143"/>
      <c r="F64" s="143"/>
      <c r="G64" s="144"/>
      <c r="H64" s="143"/>
      <c r="I64" s="143"/>
      <c r="J64" s="143"/>
      <c r="K64" s="145"/>
      <c r="L64" s="146"/>
    </row>
    <row r="65" spans="5:13" ht="16.5" thickTop="1" x14ac:dyDescent="0.25">
      <c r="E65"/>
      <c r="F65"/>
      <c r="G65"/>
      <c r="H65"/>
      <c r="I65"/>
      <c r="J65" s="148" t="s">
        <v>46</v>
      </c>
      <c r="K65" s="149"/>
      <c r="L65" s="150">
        <f>SUM(L5:INDEX(L:L,ROW()-1))</f>
        <v>775548.62399999984</v>
      </c>
      <c r="M65"/>
    </row>
    <row r="66" spans="5:13" x14ac:dyDescent="0.25">
      <c r="E66"/>
      <c r="F66"/>
      <c r="G66"/>
      <c r="H66"/>
      <c r="I66"/>
      <c r="J66" s="151" t="s">
        <v>47</v>
      </c>
      <c r="K66" s="152"/>
      <c r="L66" s="153">
        <f>$L$65*0.18</f>
        <v>139598.75231999997</v>
      </c>
      <c r="M66"/>
    </row>
    <row r="67" spans="5:13" x14ac:dyDescent="0.25">
      <c r="E67"/>
      <c r="F67"/>
      <c r="G67"/>
      <c r="H67"/>
      <c r="I67"/>
      <c r="J67" s="151" t="s">
        <v>48</v>
      </c>
      <c r="K67" s="152"/>
      <c r="L67" s="153">
        <f>$L$65+$L$66</f>
        <v>915147.37631999981</v>
      </c>
      <c r="M67"/>
    </row>
    <row r="68" spans="5:13" x14ac:dyDescent="0.25">
      <c r="E68"/>
      <c r="F68"/>
      <c r="G68"/>
      <c r="H68"/>
      <c r="I68"/>
      <c r="J68" s="151" t="s">
        <v>49</v>
      </c>
      <c r="K68" s="152"/>
      <c r="L68" s="153">
        <f>$L$67*0.01</f>
        <v>9151.4737631999978</v>
      </c>
      <c r="M68"/>
    </row>
    <row r="69" spans="5:13" ht="16.5" thickBot="1" x14ac:dyDescent="0.3">
      <c r="E69"/>
      <c r="F69"/>
      <c r="G69"/>
      <c r="H69"/>
      <c r="I69"/>
      <c r="J69" s="154" t="s">
        <v>50</v>
      </c>
      <c r="K69" s="155"/>
      <c r="L69" s="156">
        <f>$L$67+$L$68</f>
        <v>924298.8500831998</v>
      </c>
      <c r="M69"/>
    </row>
    <row r="70" spans="5:13" ht="16.5" thickTop="1" x14ac:dyDescent="0.25">
      <c r="E70"/>
      <c r="F70"/>
      <c r="G70"/>
      <c r="H70"/>
      <c r="I70"/>
      <c r="J70" s="157" t="s">
        <v>51</v>
      </c>
      <c r="K70" s="158"/>
      <c r="L70" s="159"/>
      <c r="M70"/>
    </row>
    <row r="71" spans="5:13" ht="39" x14ac:dyDescent="0.25">
      <c r="E71"/>
      <c r="F71"/>
      <c r="G71"/>
      <c r="H71"/>
      <c r="I71" s="160" t="s">
        <v>52</v>
      </c>
      <c r="J71" s="161" t="str">
        <f>IF(L69&gt;=10000000,ROUND(L69/10000000,2)&amp;" Crore",IF(L69&gt;=100000,ROUND(L69/100000,2)&amp;" Lakh",IF(L69&gt;=1000,ROUND(L69/1000,2)&amp;" Thousand",ROUND(L69,0)))) &amp; " Only"</f>
        <v>9.24 Lakh Only</v>
      </c>
      <c r="K71" s="162"/>
      <c r="L71" s="162"/>
      <c r="M71"/>
    </row>
    <row r="72" spans="5:13" x14ac:dyDescent="0.25">
      <c r="E72"/>
      <c r="F72"/>
      <c r="G72"/>
      <c r="H72"/>
      <c r="I72"/>
      <c r="J72"/>
      <c r="K72"/>
      <c r="L72"/>
      <c r="M72"/>
    </row>
    <row r="73" spans="5:13" x14ac:dyDescent="0.25"/>
    <row r="74" spans="5:13" x14ac:dyDescent="0.25"/>
  </sheetData>
  <mergeCells count="21">
    <mergeCell ref="E58:G58"/>
    <mergeCell ref="F62:G62"/>
    <mergeCell ref="E63:G63"/>
    <mergeCell ref="E42:G42"/>
    <mergeCell ref="F47:G47"/>
    <mergeCell ref="E48:G48"/>
    <mergeCell ref="F52:G52"/>
    <mergeCell ref="E53:G53"/>
    <mergeCell ref="F57:G57"/>
    <mergeCell ref="E27:G27"/>
    <mergeCell ref="F31:G31"/>
    <mergeCell ref="E32:G32"/>
    <mergeCell ref="F36:G36"/>
    <mergeCell ref="E37:G37"/>
    <mergeCell ref="F41:G41"/>
    <mergeCell ref="A1:L3"/>
    <mergeCell ref="F8:G8"/>
    <mergeCell ref="E9:G9"/>
    <mergeCell ref="F14:G14"/>
    <mergeCell ref="E15:G15"/>
    <mergeCell ref="F26:G26"/>
  </mergeCells>
  <conditionalFormatting sqref="K62">
    <cfRule type="expression" dxfId="9" priority="1" stopIfTrue="1">
      <formula>AND(ISNUMBER(K62),K62&lt;&gt;0)</formula>
    </cfRule>
  </conditionalFormatting>
  <conditionalFormatting sqref="K57">
    <cfRule type="expression" dxfId="8" priority="2" stopIfTrue="1">
      <formula>AND(ISNUMBER(K57),K57&lt;&gt;0)</formula>
    </cfRule>
  </conditionalFormatting>
  <conditionalFormatting sqref="K52">
    <cfRule type="expression" dxfId="7" priority="3" stopIfTrue="1">
      <formula>AND(ISNUMBER(K52),K52&lt;&gt;0)</formula>
    </cfRule>
  </conditionalFormatting>
  <conditionalFormatting sqref="K47">
    <cfRule type="expression" dxfId="6" priority="4" stopIfTrue="1">
      <formula>AND(ISNUMBER(K47),K47&lt;&gt;0)</formula>
    </cfRule>
  </conditionalFormatting>
  <conditionalFormatting sqref="K41">
    <cfRule type="expression" dxfId="5" priority="5" stopIfTrue="1">
      <formula>AND(ISNUMBER(K41),K41&lt;&gt;0)</formula>
    </cfRule>
  </conditionalFormatting>
  <conditionalFormatting sqref="K36">
    <cfRule type="expression" dxfId="4" priority="6" stopIfTrue="1">
      <formula>AND(ISNUMBER(K36),K36&lt;&gt;0)</formula>
    </cfRule>
  </conditionalFormatting>
  <conditionalFormatting sqref="K31">
    <cfRule type="expression" dxfId="3" priority="7" stopIfTrue="1">
      <formula>AND(ISNUMBER(K31),K31&lt;&gt;0)</formula>
    </cfRule>
  </conditionalFormatting>
  <conditionalFormatting sqref="K26">
    <cfRule type="expression" dxfId="2" priority="8" stopIfTrue="1">
      <formula>AND(ISNUMBER(K26),K26&lt;&gt;0)</formula>
    </cfRule>
  </conditionalFormatting>
  <conditionalFormatting sqref="K14">
    <cfRule type="expression" dxfId="1" priority="9" stopIfTrue="1">
      <formula>AND(ISNUMBER(K14),K14&lt;&gt;0)</formula>
    </cfRule>
  </conditionalFormatting>
  <conditionalFormatting sqref="K8">
    <cfRule type="expression" dxfId="0" priority="10" stopIfTrue="1">
      <formula>AND(ISNUMBER(K8),K8&lt;&gt;0)</formula>
    </cfRule>
  </conditionalFormatting>
  <dataValidations count="4">
    <dataValidation type="list" allowBlank="1" showInputMessage="1" showErrorMessage="1" sqref="J9" xr:uid="{20C99B8F-D068-488F-8AE4-818543A34F27}">
      <formula1>"Through Rate,Labour Rate,Machinery Rate"</formula1>
    </dataValidation>
    <dataValidation type="list" allowBlank="1" showInputMessage="1" showErrorMessage="1" sqref="J32" xr:uid="{C4E996E4-E0FB-486E-82E5-E351064AF077}">
      <formula1>"Through Rate,Labour Rate"</formula1>
    </dataValidation>
    <dataValidation type="list" allowBlank="1" showInputMessage="1" showErrorMessage="1" sqref="J37 J53 J48 J42 J15" xr:uid="{23C70EAC-5F2A-4742-9E9D-CBDC1E61698D}">
      <formula1>"Through Rate,Material Rate,Labour Rate"</formula1>
    </dataValidation>
    <dataValidation type="list" allowBlank="1" showInputMessage="1" showErrorMessage="1" sqref="J58:J61 J63 J27" xr:uid="{B7806EF0-4820-44CF-9E63-E135C9014609}">
      <formula1>"Through Rate Amnd,Through Rate,Material Rate Amnd,Material Rate,Labour Rate Amnd,Labour Rate"</formula1>
    </dataValidation>
  </dataValidations>
  <pageMargins left="0.7" right="0.7" top="0.75" bottom="0.75" header="0.3" footer="0.3"/>
  <pageSetup paperSize="9"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Ghat 55x90</vt:lpstr>
    </vt:vector>
  </TitlesOfParts>
  <Company>ssb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garg</dc:creator>
  <cp:lastModifiedBy>amit garg</cp:lastModifiedBy>
  <dcterms:created xsi:type="dcterms:W3CDTF">2026-01-26T11:57:09Z</dcterms:created>
  <dcterms:modified xsi:type="dcterms:W3CDTF">2026-01-26T11:57:10Z</dcterms:modified>
</cp:coreProperties>
</file>