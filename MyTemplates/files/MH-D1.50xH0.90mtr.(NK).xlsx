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mrgar\Downloads\"/>
    </mc:Choice>
  </mc:AlternateContent>
  <xr:revisionPtr revIDLastSave="0" documentId="13_ncr:1_{B645901C-6103-419B-AC47-55A9E01DA450}" xr6:coauthVersionLast="47" xr6:coauthVersionMax="47" xr10:uidLastSave="{00000000-0000-0000-0000-000000000000}"/>
  <bookViews>
    <workbookView xWindow="-108" yWindow="-108" windowWidth="23256" windowHeight="12456" xr2:uid="{607104F6-9A73-4AB2-9B67-53D1AE8883C6}"/>
  </bookViews>
  <sheets>
    <sheet name="RCC 6.05 mtr.  (2)" sheetId="2" r:id="rId1"/>
  </sheets>
  <definedNames>
    <definedName name="_xlnm.Print_Area" localSheetId="0">'RCC 6.05 mtr.  (2)'!$A$4:$L$59</definedName>
    <definedName name="Z_58D4F40C_3A80_4C2D_9F46_0B66C361F721_.wvu.PrintArea" localSheetId="0" hidden="1">'RCC 6.05 mtr.  (2)'!$A$1:$L$59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69" i="2" l="1"/>
  <c r="L67" i="2"/>
  <c r="L66" i="2"/>
  <c r="L65" i="2"/>
  <c r="L64" i="2"/>
  <c r="L63" i="2"/>
  <c r="L62" i="2"/>
  <c r="L60" i="2"/>
  <c r="L55" i="2"/>
  <c r="L50" i="2"/>
  <c r="L44" i="2"/>
  <c r="L39" i="2"/>
  <c r="L34" i="2"/>
  <c r="L29" i="2"/>
  <c r="L23" i="2"/>
  <c r="L18" i="2"/>
  <c r="L13" i="2"/>
  <c r="L8" i="2"/>
  <c r="A5" i="2"/>
  <c r="A10" i="2" s="1"/>
  <c r="A15" i="2" s="1"/>
  <c r="K8" i="2"/>
  <c r="K13" i="2"/>
  <c r="K18" i="2"/>
  <c r="K23" i="2"/>
  <c r="K29" i="2"/>
  <c r="K34" i="2"/>
  <c r="K39" i="2"/>
  <c r="K44" i="2"/>
  <c r="K55" i="2"/>
  <c r="K60" i="2"/>
  <c r="G6" i="2"/>
  <c r="F6" i="2"/>
  <c r="E6" i="2"/>
  <c r="D6" i="2"/>
  <c r="G11" i="2"/>
  <c r="F11" i="2"/>
  <c r="E11" i="2"/>
  <c r="D11" i="2"/>
  <c r="G16" i="2"/>
  <c r="F16" i="2"/>
  <c r="E16" i="2"/>
  <c r="D16" i="2"/>
  <c r="F21" i="2"/>
  <c r="E21" i="2"/>
  <c r="D21" i="2"/>
  <c r="G27" i="2"/>
  <c r="F27" i="2"/>
  <c r="E27" i="2"/>
  <c r="D27" i="2"/>
  <c r="G26" i="2"/>
  <c r="F26" i="2"/>
  <c r="E26" i="2"/>
  <c r="D26" i="2"/>
  <c r="G32" i="2"/>
  <c r="F32" i="2"/>
  <c r="E32" i="2"/>
  <c r="H32" i="2" s="1"/>
  <c r="H33" i="2" s="1"/>
  <c r="H34" i="2" s="1"/>
  <c r="G37" i="2"/>
  <c r="E37" i="2"/>
  <c r="D37" i="2"/>
  <c r="D42" i="2"/>
  <c r="H42" i="2" s="1"/>
  <c r="H43" i="2" s="1"/>
  <c r="H44" i="2" s="1"/>
  <c r="D48" i="2"/>
  <c r="H48" i="2" s="1"/>
  <c r="H49" i="2" s="1"/>
  <c r="H50" i="2" s="1"/>
  <c r="H53" i="2"/>
  <c r="H54" i="2" s="1"/>
  <c r="H55" i="2" s="1"/>
  <c r="H58" i="2"/>
  <c r="H59" i="2" s="1"/>
  <c r="H60" i="2" s="1"/>
  <c r="A20" i="2" l="1"/>
  <c r="A25" i="2" s="1"/>
  <c r="H37" i="2"/>
  <c r="H38" i="2" s="1"/>
  <c r="H39" i="2" s="1"/>
  <c r="H11" i="2"/>
  <c r="H12" i="2" s="1"/>
  <c r="H13" i="2" s="1"/>
  <c r="H26" i="2"/>
  <c r="H6" i="2"/>
  <c r="H27" i="2"/>
  <c r="H21" i="2"/>
  <c r="H16" i="2"/>
  <c r="A31" i="2" l="1"/>
  <c r="A36" i="2" s="1"/>
  <c r="H28" i="2"/>
  <c r="H29" i="2" s="1"/>
  <c r="H22" i="2"/>
  <c r="H23" i="2" s="1"/>
  <c r="H7" i="2"/>
  <c r="H8" i="2" s="1"/>
  <c r="H17" i="2"/>
  <c r="H18" i="2" s="1"/>
  <c r="A41" i="2" l="1"/>
  <c r="A46" i="2" l="1"/>
  <c r="A47" i="2" l="1"/>
  <c r="A52" i="2" s="1"/>
  <c r="A57" i="2" s="1"/>
</calcChain>
</file>

<file path=xl/sharedStrings.xml><?xml version="1.0" encoding="utf-8"?>
<sst xmlns="http://schemas.openxmlformats.org/spreadsheetml/2006/main" count="122" uniqueCount="68">
  <si>
    <t>Analysis of Rate of Constructionof Brick Masonry Manhole of Dia 1.52 m</t>
  </si>
  <si>
    <t>Sr No</t>
  </si>
  <si>
    <t>HSR
Item No</t>
  </si>
  <si>
    <t>Description</t>
  </si>
  <si>
    <t>Nos</t>
  </si>
  <si>
    <t>Length</t>
  </si>
  <si>
    <t>Breadth</t>
  </si>
  <si>
    <t>Depth</t>
  </si>
  <si>
    <t>Quantity</t>
  </si>
  <si>
    <t>Unit</t>
  </si>
  <si>
    <t>Rate Type</t>
  </si>
  <si>
    <t>Rate</t>
  </si>
  <si>
    <t>Amount</t>
  </si>
  <si>
    <t>4.12.1</t>
  </si>
  <si>
    <r>
      <t>4.12: Earth Work and Rock Cutting Earth work in excavation by mechanical means (Hydraulic excavator)/manual means over areas (exceeding 30 cm in depth, 1.5 m in width as well as 10 sqm on plan) including getting out and disposal of excavated earth lead up to 50 m and lift up to 1.5 m, as directed by Engineer-in-charge.</t>
    </r>
    <r>
      <rPr>
        <b/>
        <i/>
        <sz val="9"/>
        <color rgb="FF8B0000"/>
        <rFont val="Calibri"/>
        <family val="2"/>
      </rPr>
      <t xml:space="preserve">
4.12.1: All kinds of soil</t>
    </r>
  </si>
  <si>
    <t>Earth work</t>
  </si>
  <si>
    <t>cum</t>
  </si>
  <si>
    <t>Total (cum)</t>
  </si>
  <si>
    <t>6.1.6</t>
  </si>
  <si>
    <r>
      <t>6.1: Concrete and RCC Work A CEMENT CONCRETE (CAST IN SITU) Providing and laying in position cement concrete of specified grade excluding the cost of centering and shuttering - All work below plinth level and up to Floor IV level:</t>
    </r>
    <r>
      <rPr>
        <b/>
        <i/>
        <sz val="9"/>
        <color rgb="FF8B0000"/>
        <rFont val="Calibri"/>
        <family val="2"/>
      </rPr>
      <t xml:space="preserve">
6.1.6: 1:4:8 (1 Cement : 4 coarse sand (zone-III) : 8 graded stone aggregate 40 mm nominal size)</t>
    </r>
  </si>
  <si>
    <t>PCC</t>
  </si>
  <si>
    <t>6.1.1</t>
  </si>
  <si>
    <r>
      <t>6.1: Concrete and RCC Work A CEMENT CONCRETE (CAST IN SITU) Providing and laying in position cement concrete of specified grade excluding the cost of centering and shuttering - All work below plinth level and up to Floor IV level:</t>
    </r>
    <r>
      <rPr>
        <b/>
        <i/>
        <sz val="9"/>
        <color rgb="FF8B0000"/>
        <rFont val="Calibri"/>
        <family val="2"/>
      </rPr>
      <t xml:space="preserve">
6.1.1: 1:1�:3 (1 Cement: 1� coarse sand (zone-III) : 3 graded stone aggregate 20 mm nominal size)</t>
    </r>
  </si>
  <si>
    <t>For bed</t>
  </si>
  <si>
    <t>6.30.3</t>
  </si>
  <si>
    <r>
      <t>6.30: Concrete and RCC Work I CENTRING AND SHUTTERING (FORM WORK) Centering and shuttering including strutting, propping etc. and removal of form for</t>
    </r>
    <r>
      <rPr>
        <b/>
        <i/>
        <sz val="9"/>
        <color rgb="FF8B0000"/>
        <rFont val="Calibri"/>
        <family val="2"/>
      </rPr>
      <t xml:space="preserve">
6.30.3: Suspended floors, roofs, landings, balconies and access platform</t>
    </r>
  </si>
  <si>
    <t>sqm</t>
  </si>
  <si>
    <t>Total (sqm)</t>
  </si>
  <si>
    <t>6.16</t>
  </si>
  <si>
    <t>6.16: Concrete and RCC Work D REINFORCED CEMENT CONCRETE Reinforced cement concrete work in beams, suspended floors, roofs having slope up to 15� landings, balconies, shelves, chajjas, lintels, bands, plain window sills, staircases and spiral stair cases above plinth level up to floor four level, excluding the cost of centering, shuttering, finishing and reinforcement with 1:1.5:3 (1 cement : 1.5 coarse sand(zone-III) : 3 graded stone aggregate 20 mm nominal size).</t>
  </si>
  <si>
    <t>For cover slab</t>
  </si>
  <si>
    <t>Less (22/7x1/4x0.50x0.50x1.20)</t>
  </si>
  <si>
    <t>7.21.1</t>
  </si>
  <si>
    <r>
      <t>7.21: Brick work with common burnt clay non- modular bricks of class designation 10.5 in foundation and plinth in:</t>
    </r>
    <r>
      <rPr>
        <b/>
        <i/>
        <sz val="9"/>
        <color rgb="FF8B0000"/>
        <rFont val="Calibri"/>
        <family val="2"/>
      </rPr>
      <t xml:space="preserve">
7.21.1: Cement mortar 1:4 (1 cement : 4 coarse sand)</t>
    </r>
  </si>
  <si>
    <t>1 st Step</t>
  </si>
  <si>
    <t>11.5.1</t>
  </si>
  <si>
    <r>
      <t>11.5: Finishing Works CEMENT PLASTER (IN FINE SAND) 12 mm cement plaster of mix :</t>
    </r>
    <r>
      <rPr>
        <b/>
        <i/>
        <sz val="9"/>
        <color rgb="FF8B0000"/>
        <rFont val="Calibri"/>
        <family val="2"/>
      </rPr>
      <t xml:space="preserve">
11.5.1: 1:2 (1 cement: 2 fine sand)</t>
    </r>
  </si>
  <si>
    <t>For Wall</t>
  </si>
  <si>
    <t>11.52</t>
  </si>
  <si>
    <t>11.52: Finishing Works RENDERING ON RCC SURFACE Cement rendering on plaster 1 mm thick</t>
  </si>
  <si>
    <t>6.33</t>
  </si>
  <si>
    <t>6.33: Steel reinforcement for R.C.C. work, where not included in the complete rate of RCC, including straightening, cutting, bending, placing in position, binding, wastage, overlaps, welded joints, spacer bars, chairs, stays, hangers and annealed steel wire etc. complete in all respect for all heights/depths/storeys/basements etc. complete in all respect below plinth level.  Note: - Reinforcement shall be measured in length including hooks, if any, separately for different diameters as actually used in work, excluding overlaps. Wastage, overlaps, couplings, welded joints, spacer bars, chairs, stays, hangers and annealed steel wire or other methods of binding and placing shall not be measured and cost of these items shall be deemed to be included in the rates for reinforcement.</t>
  </si>
  <si>
    <t>6.36</t>
  </si>
  <si>
    <t>6.36: Concrete and RCC Work J STEEL REINFORCEMENT Steel reinforcement for R.C.C. work ready to use `cut and bend` rebars of approved make from factory/workshop to construction site including placing in position and binding all complete above plinth level.</t>
  </si>
  <si>
    <t>Kg</t>
  </si>
  <si>
    <t>Total (Kg)</t>
  </si>
  <si>
    <t>Total (kg)</t>
  </si>
  <si>
    <t>kg</t>
  </si>
  <si>
    <t>NS</t>
  </si>
  <si>
    <t>21.28</t>
  </si>
  <si>
    <t>21.28: Sewerage and Drainage C FIXING INCLUDING CARRIAGE Providing and fixing steel bar embedded plastic steps of size 263mm x 165mm of orange colour, confirming to specification in pump chambers, manholes etc., having minimum 3mm thick polypropylene polymer confirming to is:10910 encapsulated on 12mm dia ribbed steel bars per IS :1786. The rate include cost of setting the same to correct lines and levels duly embedded in 1:2:4 cement concrete including carriage, loading, uploading, stacking, handling, re-handling etc., complete in all respect to the satisfaction of Engineer-in-charge</t>
  </si>
  <si>
    <t>each</t>
  </si>
  <si>
    <t>Total (each)</t>
  </si>
  <si>
    <t>21.93.1</t>
  </si>
  <si>
    <r>
      <t>21.93: Sewerage and Drainage N MANHOLE CHAMBERS Providing and fixing SFRC MANHOLE COVERS AND FRAMES MARKED WITH IS: 12592 including setting the same to correct lines and levels in 1:3 cement sand mortar over manhole including carriage loading unloading stacking handling re-handling etc. complete in all respects to the satisfaction to the Engineer-in-charge.</t>
    </r>
    <r>
      <rPr>
        <b/>
        <i/>
        <sz val="9"/>
        <color rgb="FF8B0000"/>
        <rFont val="Calibri"/>
        <family val="2"/>
      </rPr>
      <t xml:space="preserve">
21.93.1: Type:- Extra Heavy Duty Set (EHD-35) 560MM Clear Opening</t>
    </r>
  </si>
  <si>
    <t>End</t>
  </si>
  <si>
    <t>Total</t>
  </si>
  <si>
    <t>any +/-</t>
  </si>
  <si>
    <t>Total Amount</t>
  </si>
  <si>
    <t>Add 18% GST</t>
  </si>
  <si>
    <t>Contingency</t>
  </si>
  <si>
    <t>GRAND TOTAL</t>
  </si>
  <si>
    <t xml:space="preserve">Say Rs.: </t>
  </si>
  <si>
    <t>Through Rate 01.04.23</t>
  </si>
  <si>
    <t>Through Rate 13.06.24</t>
  </si>
  <si>
    <t>Sub Component:</t>
  </si>
  <si>
    <t>Main Component:</t>
  </si>
  <si>
    <t>Name of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</si>
</sst>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_(* #,##0_);_(* \-#,##0_);_(* &quot;-&quot;??_);_(@_)"/>
    <numFmt numFmtId="166" formatCode="_(* #,##0_);_(* \(#,##0\);_(* &quot;-&quot;??_);_(@_)"/>
    <numFmt numFmtId="167" formatCode="0.000"/>
  </numFmts>
  <fonts count="14" x14ac:knownFonts="1">
    <font>
      <sz val="11"/>
      <color theme="1"/>
      <name val="Calibri"/>
      <family val="2"/>
      <scheme val="minor"/>
    </font>
    <font>
      <sz val="10"/>
      <name val="Arial"/>
      <family val="2"/>
    </font>
    <font>
      <sz val="11"/>
      <name val="Calibri"/>
      <family val="2"/>
    </font>
    <font>
      <sz val="12"/>
      <name val="Calibri Light"/>
      <family val="1"/>
      <scheme val="major"/>
    </font>
    <font>
      <b/>
      <i/>
      <sz val="10"/>
      <color rgb="FF006400"/>
      <name val="Calibri"/>
      <family val="2"/>
    </font>
    <font>
      <b/>
      <i/>
      <sz val="9"/>
      <color rgb="FF8B0000"/>
      <name val="Calibri"/>
      <family val="2"/>
    </font>
    <font>
      <sz val="12"/>
      <color theme="1"/>
      <name val="Calibri Light"/>
      <family val="1"/>
      <scheme val="major"/>
    </font>
    <font>
      <b/>
      <sz val="12"/>
      <name val="Calibri Light"/>
      <family val="1"/>
      <scheme val="major"/>
    </font>
    <font>
      <b/>
      <sz val="11"/>
      <color theme="1"/>
      <name val="Calibri"/>
      <family val="2"/>
      <scheme val="minor"/>
    </font>
    <font>
      <b/>
      <sz val="12"/>
      <name val="Calibri"/>
      <family val="2"/>
    </font>
    <font>
      <sz val="12"/>
      <name val="Calibri"/>
      <family val="2"/>
    </font>
    <font>
      <b/>
      <i/>
      <sz val="12"/>
      <color rgb="FF000000"/>
      <name val="Calibri"/>
      <family val="2"/>
      <scheme val="minor"/>
    </font>
    <font>
      <b/>
      <i/>
      <sz val="14"/>
      <color rgb="FF000000"/>
      <name val="Calibri"/>
      <family val="2"/>
      <scheme val="minor"/>
    </font>
    <font>
      <b/>
      <sz val="11"/>
      <color rgb="FF000000"/>
      <name val="Calibri"/>
      <family val="2"/>
      <scheme val="minor"/>
    </font>
  </fonts>
  <fills count="9">
    <fill>
      <patternFill patternType="none"/>
    </fill>
    <fill>
      <patternFill patternType="gray125"/>
    </fill>
    <fill>
      <patternFill patternType="solid">
        <fgColor rgb="FFFFFFC8"/>
        <bgColor indexed="64"/>
      </patternFill>
    </fill>
    <fill>
      <patternFill patternType="solid">
        <fgColor rgb="FFC8FFC8"/>
        <bgColor indexed="64"/>
      </patternFill>
    </fill>
    <fill>
      <patternFill patternType="solid">
        <fgColor rgb="FFFFE6C8"/>
        <bgColor indexed="64"/>
      </patternFill>
    </fill>
    <fill>
      <patternFill patternType="solid">
        <fgColor rgb="FFDCFFDC"/>
        <bgColor indexed="64"/>
      </patternFill>
    </fill>
    <fill>
      <patternFill patternType="solid">
        <fgColor rgb="FFDCE6FF"/>
        <bgColor indexed="64"/>
      </patternFill>
    </fill>
    <fill>
      <patternFill patternType="solid">
        <fgColor rgb="FFF0F0F0"/>
        <bgColor indexed="64"/>
      </patternFill>
    </fill>
    <fill>
      <patternFill patternType="solid">
        <fgColor rgb="FFFFFF99"/>
        <bgColor indexed="64"/>
      </patternFill>
    </fill>
  </fills>
  <borders count="22">
    <border>
      <left/>
      <right/>
      <top/>
      <bottom/>
      <diagonal/>
    </border>
    <border>
      <left style="thin">
        <color indexed="64"/>
      </left>
      <right/>
      <top style="thin">
        <color indexed="64"/>
      </top>
      <bottom/>
      <diagonal/>
    </border>
    <border>
      <left/>
      <right/>
      <top style="thin">
        <color auto="1"/>
      </top>
      <bottom/>
      <diagonal/>
    </border>
    <border>
      <left style="thick">
        <color indexed="64"/>
      </left>
      <right style="thin">
        <color indexed="64"/>
      </right>
      <top style="thick">
        <color indexed="64"/>
      </top>
      <bottom style="thin">
        <color auto="1"/>
      </bottom>
      <diagonal/>
    </border>
    <border>
      <left style="thin">
        <color indexed="64"/>
      </left>
      <right style="thin">
        <color indexed="64"/>
      </right>
      <top style="thick">
        <color indexed="64"/>
      </top>
      <bottom style="thin">
        <color indexed="64"/>
      </bottom>
      <diagonal/>
    </border>
    <border>
      <left style="thin">
        <color auto="1"/>
      </left>
      <right style="thick">
        <color indexed="64"/>
      </right>
      <top style="thick">
        <color indexed="64"/>
      </top>
      <bottom style="thin">
        <color auto="1"/>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ck">
        <color indexed="64"/>
      </right>
      <top style="thin">
        <color auto="1"/>
      </top>
      <bottom style="thin">
        <color auto="1"/>
      </bottom>
      <diagonal/>
    </border>
    <border>
      <left style="thin">
        <color auto="1"/>
      </left>
      <right style="thick">
        <color indexed="64"/>
      </right>
      <top style="thin">
        <color indexed="64"/>
      </top>
      <bottom style="thin">
        <color auto="1"/>
      </bottom>
      <diagonal/>
    </border>
    <border>
      <left style="thick">
        <color indexed="64"/>
      </left>
      <right/>
      <top/>
      <bottom style="thick">
        <color auto="1"/>
      </bottom>
      <diagonal/>
    </border>
    <border>
      <left/>
      <right/>
      <top/>
      <bottom style="thick">
        <color auto="1"/>
      </bottom>
      <diagonal/>
    </border>
    <border>
      <left/>
      <right style="thick">
        <color indexed="64"/>
      </right>
      <top/>
      <bottom style="thick">
        <color auto="1"/>
      </bottom>
      <diagonal/>
    </border>
    <border>
      <left style="thick">
        <color indexed="64"/>
      </left>
      <right/>
      <top style="thin">
        <color indexed="64"/>
      </top>
      <bottom style="thin">
        <color auto="1"/>
      </bottom>
      <diagonal/>
    </border>
    <border>
      <left style="thick">
        <color indexed="64"/>
      </left>
      <right/>
      <top style="thin">
        <color indexed="64"/>
      </top>
      <bottom style="thick">
        <color indexed="64"/>
      </bottom>
      <diagonal/>
    </border>
    <border>
      <left/>
      <right/>
      <top style="thin">
        <color indexed="64"/>
      </top>
      <bottom style="thick">
        <color indexed="64"/>
      </bottom>
      <diagonal/>
    </border>
    <border>
      <left/>
      <right style="thick">
        <color indexed="64"/>
      </right>
      <top style="thin">
        <color indexed="64"/>
      </top>
      <bottom style="thick">
        <color indexed="64"/>
      </bottom>
      <diagonal/>
    </border>
    <border>
      <left/>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top style="thick">
        <color auto="1"/>
      </top>
      <bottom style="thin">
        <color indexed="64"/>
      </bottom>
      <diagonal/>
    </border>
  </borders>
  <cellStyleXfs count="3">
    <xf numFmtId="0" fontId="0" fillId="0" borderId="0"/>
    <xf numFmtId="0" fontId="1" fillId="0" borderId="0"/>
    <xf numFmtId="0" fontId="1" fillId="0" borderId="0"/>
  </cellStyleXfs>
  <cellXfs count="110">
    <xf numFmtId="0" fontId="0" fillId="0" borderId="0" xfId="0"/>
    <xf numFmtId="0" fontId="2" fillId="0" borderId="2" xfId="1" applyFont="1" applyBorder="1" applyAlignment="1">
      <alignment horizontal="left" vertical="center" wrapText="1"/>
    </xf>
    <xf numFmtId="0" fontId="2" fillId="0" borderId="0" xfId="1" applyFont="1" applyAlignment="1">
      <alignment horizontal="left" vertical="center"/>
    </xf>
    <xf numFmtId="0" fontId="3" fillId="0" borderId="0" xfId="1" applyFont="1"/>
    <xf numFmtId="0" fontId="3" fillId="0" borderId="0" xfId="1" applyFont="1" applyAlignment="1">
      <alignment vertical="center"/>
    </xf>
    <xf numFmtId="0" fontId="3" fillId="0" borderId="0" xfId="1" applyFont="1" applyAlignment="1">
      <alignment horizontal="center" vertical="center"/>
    </xf>
    <xf numFmtId="0" fontId="6" fillId="0" borderId="0" xfId="1" applyFont="1"/>
    <xf numFmtId="0" fontId="3" fillId="0" borderId="0" xfId="1" applyFont="1" applyAlignment="1">
      <alignment horizontal="left"/>
    </xf>
    <xf numFmtId="49" fontId="7" fillId="0" borderId="0" xfId="1" applyNumberFormat="1" applyFont="1" applyAlignment="1">
      <alignment horizontal="center" vertical="center" wrapText="1"/>
    </xf>
    <xf numFmtId="1" fontId="9" fillId="5" borderId="6" xfId="1" applyNumberFormat="1" applyFont="1" applyFill="1" applyBorder="1" applyAlignment="1">
      <alignment horizontal="center" vertical="center" wrapText="1"/>
    </xf>
    <xf numFmtId="49" fontId="9" fillId="5" borderId="7" xfId="1" applyNumberFormat="1" applyFont="1" applyFill="1" applyBorder="1" applyAlignment="1">
      <alignment horizontal="center" vertical="center" wrapText="1"/>
    </xf>
    <xf numFmtId="1" fontId="9" fillId="6" borderId="6" xfId="1" applyNumberFormat="1" applyFont="1" applyFill="1" applyBorder="1" applyAlignment="1">
      <alignment horizontal="center" vertical="center" wrapText="1"/>
    </xf>
    <xf numFmtId="49" fontId="9" fillId="6" borderId="7" xfId="1" applyNumberFormat="1" applyFont="1" applyFill="1" applyBorder="1" applyAlignment="1">
      <alignment horizontal="center" vertical="center" wrapText="1"/>
    </xf>
    <xf numFmtId="0" fontId="9" fillId="5" borderId="6" xfId="1" applyFont="1" applyFill="1" applyBorder="1" applyAlignment="1">
      <alignment horizontal="center" vertical="center"/>
    </xf>
    <xf numFmtId="0" fontId="9" fillId="6" borderId="6" xfId="1" applyFont="1" applyFill="1" applyBorder="1" applyAlignment="1">
      <alignment horizontal="center" vertical="center"/>
    </xf>
    <xf numFmtId="0" fontId="10" fillId="7" borderId="12" xfId="1" applyFont="1" applyFill="1" applyBorder="1" applyAlignment="1">
      <alignment horizontal="left" vertical="center"/>
    </xf>
    <xf numFmtId="49" fontId="9" fillId="7" borderId="13" xfId="1" applyNumberFormat="1" applyFont="1" applyFill="1" applyBorder="1" applyAlignment="1">
      <alignment horizontal="center" vertical="center" wrapText="1"/>
    </xf>
    <xf numFmtId="0" fontId="10" fillId="0" borderId="0" xfId="1" applyFont="1" applyFill="1" applyAlignment="1">
      <alignment horizontal="left" vertical="center"/>
    </xf>
    <xf numFmtId="1" fontId="10" fillId="0" borderId="6" xfId="1" applyNumberFormat="1" applyFont="1" applyFill="1" applyBorder="1" applyAlignment="1">
      <alignment horizontal="center" vertical="center" wrapText="1"/>
    </xf>
    <xf numFmtId="0" fontId="10" fillId="0" borderId="0" xfId="1" applyNumberFormat="1" applyFont="1" applyFill="1" applyAlignment="1">
      <alignment horizontal="left" vertical="center"/>
    </xf>
    <xf numFmtId="0" fontId="10" fillId="0" borderId="7" xfId="1" applyNumberFormat="1" applyFont="1" applyFill="1" applyBorder="1" applyAlignment="1">
      <alignment horizontal="left" vertical="center" wrapText="1" readingOrder="1"/>
    </xf>
    <xf numFmtId="0" fontId="10" fillId="0" borderId="9" xfId="1" applyNumberFormat="1" applyFont="1" applyFill="1" applyBorder="1" applyAlignment="1">
      <alignment horizontal="left" vertical="center" wrapText="1"/>
    </xf>
    <xf numFmtId="0" fontId="10" fillId="0" borderId="7" xfId="1" applyNumberFormat="1" applyFont="1" applyFill="1" applyBorder="1" applyAlignment="1">
      <alignment horizontal="left" vertical="center" wrapText="1"/>
    </xf>
    <xf numFmtId="0" fontId="10" fillId="0" borderId="9" xfId="1" applyNumberFormat="1" applyFont="1" applyFill="1" applyBorder="1" applyAlignment="1">
      <alignment horizontal="left" vertical="center"/>
    </xf>
    <xf numFmtId="0" fontId="10" fillId="0" borderId="7" xfId="1" applyNumberFormat="1" applyFont="1" applyFill="1" applyBorder="1" applyAlignment="1">
      <alignment horizontal="left" vertical="center"/>
    </xf>
    <xf numFmtId="0" fontId="9" fillId="5" borderId="7" xfId="1" applyNumberFormat="1" applyFont="1" applyFill="1" applyBorder="1" applyAlignment="1">
      <alignment horizontal="left" vertical="center"/>
    </xf>
    <xf numFmtId="0" fontId="9" fillId="5" borderId="7" xfId="1" applyNumberFormat="1" applyFont="1" applyFill="1" applyBorder="1" applyAlignment="1">
      <alignment horizontal="left" vertical="center" wrapText="1"/>
    </xf>
    <xf numFmtId="0" fontId="9" fillId="6" borderId="7" xfId="1" applyNumberFormat="1" applyFont="1" applyFill="1" applyBorder="1" applyAlignment="1">
      <alignment horizontal="left" vertical="center"/>
    </xf>
    <xf numFmtId="0" fontId="9" fillId="6" borderId="7" xfId="1" applyNumberFormat="1" applyFont="1" applyFill="1" applyBorder="1" applyAlignment="1">
      <alignment horizontal="left" vertical="center" wrapText="1"/>
    </xf>
    <xf numFmtId="0" fontId="10" fillId="7" borderId="9" xfId="1" applyNumberFormat="1" applyFont="1" applyFill="1" applyBorder="1" applyAlignment="1">
      <alignment horizontal="left" vertical="center"/>
    </xf>
    <xf numFmtId="0" fontId="9" fillId="5" borderId="7" xfId="1" applyNumberFormat="1" applyFont="1" applyFill="1" applyBorder="1" applyAlignment="1" applyProtection="1">
      <alignment horizontal="center" vertical="center"/>
    </xf>
    <xf numFmtId="0" fontId="9" fillId="6" borderId="7" xfId="1" applyNumberFormat="1" applyFont="1" applyFill="1" applyBorder="1" applyAlignment="1" applyProtection="1">
      <alignment horizontal="center" vertical="center"/>
    </xf>
    <xf numFmtId="0" fontId="10" fillId="7" borderId="9" xfId="1" applyNumberFormat="1" applyFont="1" applyFill="1" applyBorder="1" applyAlignment="1">
      <alignment horizontal="left" vertical="center" wrapText="1"/>
    </xf>
    <xf numFmtId="0" fontId="9" fillId="5" borderId="7" xfId="1" applyNumberFormat="1" applyFont="1" applyFill="1" applyBorder="1" applyAlignment="1" applyProtection="1">
      <alignment horizontal="center" vertical="center" wrapText="1"/>
    </xf>
    <xf numFmtId="0" fontId="9" fillId="6" borderId="7" xfId="1" applyNumberFormat="1" applyFont="1" applyFill="1" applyBorder="1" applyAlignment="1" applyProtection="1">
      <alignment horizontal="center" vertical="center" wrapText="1"/>
    </xf>
    <xf numFmtId="0" fontId="9" fillId="5" borderId="7" xfId="1" applyNumberFormat="1" applyFont="1" applyFill="1" applyBorder="1" applyAlignment="1">
      <alignment horizontal="left" vertical="center" wrapText="1" readingOrder="1"/>
    </xf>
    <xf numFmtId="0" fontId="9" fillId="6" borderId="7" xfId="1" applyNumberFormat="1" applyFont="1" applyFill="1" applyBorder="1" applyAlignment="1">
      <alignment horizontal="left" vertical="center" wrapText="1" readingOrder="1"/>
    </xf>
    <xf numFmtId="0" fontId="10" fillId="7" borderId="9" xfId="1" applyNumberFormat="1" applyFont="1" applyFill="1" applyBorder="1" applyAlignment="1">
      <alignment horizontal="left" vertical="center" wrapText="1" readingOrder="1"/>
    </xf>
    <xf numFmtId="0" fontId="9" fillId="0" borderId="7" xfId="1" applyNumberFormat="1" applyFont="1" applyFill="1" applyBorder="1" applyAlignment="1">
      <alignment horizontal="left" vertical="center" wrapText="1"/>
    </xf>
    <xf numFmtId="0" fontId="4" fillId="0" borderId="7" xfId="1" applyNumberFormat="1" applyFont="1" applyFill="1" applyBorder="1" applyAlignment="1">
      <alignment horizontal="left" vertical="center" wrapText="1"/>
    </xf>
    <xf numFmtId="0" fontId="3" fillId="0" borderId="0" xfId="1" applyFont="1" applyFill="1" applyAlignment="1">
      <alignment vertical="center"/>
    </xf>
    <xf numFmtId="0" fontId="4" fillId="0" borderId="7" xfId="1" applyNumberFormat="1" applyFont="1" applyFill="1" applyBorder="1" applyAlignment="1">
      <alignment horizontal="left" vertical="center" wrapText="1" readingOrder="1"/>
    </xf>
    <xf numFmtId="0" fontId="6" fillId="0" borderId="0" xfId="1" applyFont="1" applyFill="1" applyAlignment="1">
      <alignment vertical="top"/>
    </xf>
    <xf numFmtId="0" fontId="3" fillId="0" borderId="0" xfId="1" applyFont="1" applyFill="1"/>
    <xf numFmtId="0" fontId="2" fillId="0" borderId="0" xfId="1" applyFont="1" applyBorder="1" applyAlignment="1">
      <alignment horizontal="left" vertical="center" wrapText="1"/>
    </xf>
    <xf numFmtId="0" fontId="9" fillId="0" borderId="1" xfId="1" applyFont="1" applyBorder="1" applyAlignment="1">
      <alignment horizontal="left" vertical="center" wrapText="1"/>
    </xf>
    <xf numFmtId="0" fontId="9" fillId="0" borderId="2" xfId="1" applyFont="1" applyBorder="1" applyAlignment="1">
      <alignment horizontal="left" vertical="center" wrapText="1"/>
    </xf>
    <xf numFmtId="0" fontId="9" fillId="0" borderId="0" xfId="1" applyFont="1" applyBorder="1" applyAlignment="1">
      <alignment horizontal="left" vertical="center" wrapText="1"/>
    </xf>
    <xf numFmtId="0" fontId="9" fillId="0" borderId="2" xfId="1" applyFont="1" applyBorder="1" applyAlignment="1">
      <alignment horizontal="center" vertical="center" wrapText="1"/>
    </xf>
    <xf numFmtId="0" fontId="10" fillId="7" borderId="13" xfId="1" applyNumberFormat="1" applyFont="1" applyFill="1" applyBorder="1" applyAlignment="1">
      <alignment horizontal="left" vertical="center"/>
    </xf>
    <xf numFmtId="0" fontId="10" fillId="7" borderId="14" xfId="1" applyNumberFormat="1" applyFont="1" applyFill="1" applyBorder="1" applyAlignment="1">
      <alignment horizontal="left" vertical="center"/>
    </xf>
    <xf numFmtId="1" fontId="9" fillId="0" borderId="6" xfId="1" applyNumberFormat="1" applyFont="1" applyFill="1" applyBorder="1" applyAlignment="1" applyProtection="1">
      <alignment horizontal="center" vertical="center" wrapText="1"/>
    </xf>
    <xf numFmtId="0" fontId="9" fillId="0" borderId="3" xfId="1" applyFont="1" applyFill="1" applyBorder="1" applyAlignment="1">
      <alignment horizontal="center" vertical="center" wrapText="1"/>
    </xf>
    <xf numFmtId="1" fontId="10" fillId="7" borderId="15" xfId="1" applyNumberFormat="1" applyFont="1" applyFill="1" applyBorder="1" applyAlignment="1">
      <alignment horizontal="center" vertical="center" wrapText="1"/>
    </xf>
    <xf numFmtId="49" fontId="9" fillId="0" borderId="4" xfId="1" applyNumberFormat="1" applyFont="1" applyFill="1" applyBorder="1" applyAlignment="1">
      <alignment horizontal="center" vertical="center" wrapText="1"/>
    </xf>
    <xf numFmtId="49" fontId="9" fillId="0" borderId="7" xfId="1" applyNumberFormat="1" applyFont="1" applyFill="1" applyBorder="1" applyAlignment="1">
      <alignment horizontal="center" vertical="center" wrapText="1"/>
    </xf>
    <xf numFmtId="49" fontId="9" fillId="7" borderId="9" xfId="1" applyNumberFormat="1" applyFont="1" applyFill="1" applyBorder="1" applyAlignment="1">
      <alignment horizontal="center" vertical="center" wrapText="1"/>
    </xf>
    <xf numFmtId="49" fontId="9" fillId="0" borderId="0" xfId="1" applyNumberFormat="1" applyFont="1" applyFill="1" applyAlignment="1">
      <alignment horizontal="center" vertical="center" wrapText="1"/>
    </xf>
    <xf numFmtId="0" fontId="9" fillId="0" borderId="4" xfId="1" applyNumberFormat="1" applyFont="1" applyFill="1" applyBorder="1" applyAlignment="1">
      <alignment horizontal="center" vertical="center" wrapText="1"/>
    </xf>
    <xf numFmtId="0" fontId="10" fillId="0" borderId="8" xfId="2" applyNumberFormat="1" applyFont="1" applyFill="1" applyBorder="1" applyAlignment="1">
      <alignment horizontal="center" vertical="center" wrapText="1"/>
    </xf>
    <xf numFmtId="0" fontId="10" fillId="0" borderId="7" xfId="2" applyNumberFormat="1" applyFont="1" applyFill="1" applyBorder="1" applyAlignment="1">
      <alignment horizontal="center" vertical="center" wrapText="1"/>
    </xf>
    <xf numFmtId="0" fontId="9" fillId="5" borderId="7" xfId="2" applyNumberFormat="1" applyFont="1" applyFill="1" applyBorder="1" applyAlignment="1">
      <alignment horizontal="center" vertical="center" wrapText="1"/>
    </xf>
    <xf numFmtId="0" fontId="9" fillId="6" borderId="7" xfId="2" applyNumberFormat="1" applyFont="1" applyFill="1" applyBorder="1" applyAlignment="1">
      <alignment horizontal="center" vertical="center" wrapText="1"/>
    </xf>
    <xf numFmtId="0" fontId="10" fillId="7" borderId="9" xfId="2" applyNumberFormat="1" applyFont="1" applyFill="1" applyBorder="1" applyAlignment="1">
      <alignment horizontal="center" vertical="center" wrapText="1"/>
    </xf>
    <xf numFmtId="0" fontId="10" fillId="0" borderId="8" xfId="1" applyNumberFormat="1" applyFont="1" applyFill="1" applyBorder="1" applyAlignment="1">
      <alignment horizontal="center" vertical="center" wrapText="1"/>
    </xf>
    <xf numFmtId="0" fontId="9" fillId="5" borderId="7" xfId="1" applyNumberFormat="1" applyFont="1" applyFill="1" applyBorder="1" applyAlignment="1">
      <alignment horizontal="center" vertical="center"/>
    </xf>
    <xf numFmtId="0" fontId="9" fillId="6" borderId="7" xfId="1" applyNumberFormat="1" applyFont="1" applyFill="1" applyBorder="1" applyAlignment="1">
      <alignment horizontal="center" vertical="center"/>
    </xf>
    <xf numFmtId="167" fontId="10" fillId="2" borderId="9" xfId="1" applyNumberFormat="1" applyFont="1" applyFill="1" applyBorder="1" applyAlignment="1">
      <alignment horizontal="right" vertical="center" wrapText="1"/>
    </xf>
    <xf numFmtId="167" fontId="10" fillId="2" borderId="7" xfId="1" applyNumberFormat="1" applyFont="1" applyFill="1" applyBorder="1" applyAlignment="1" applyProtection="1">
      <alignment horizontal="right" vertical="center" wrapText="1"/>
    </xf>
    <xf numFmtId="167" fontId="9" fillId="2" borderId="7" xfId="1" applyNumberFormat="1" applyFont="1" applyFill="1" applyBorder="1" applyAlignment="1" applyProtection="1">
      <alignment horizontal="right" vertical="center" wrapText="1"/>
    </xf>
    <xf numFmtId="167" fontId="10" fillId="2" borderId="9" xfId="1" applyNumberFormat="1" applyFont="1" applyFill="1" applyBorder="1" applyAlignment="1">
      <alignment horizontal="right" vertical="center"/>
    </xf>
    <xf numFmtId="167" fontId="9" fillId="2" borderId="7" xfId="1" applyNumberFormat="1" applyFont="1" applyFill="1" applyBorder="1" applyAlignment="1" applyProtection="1">
      <alignment horizontal="right" vertical="center"/>
    </xf>
    <xf numFmtId="0" fontId="9" fillId="0" borderId="9" xfId="1" applyNumberFormat="1" applyFont="1" applyFill="1" applyBorder="1" applyAlignment="1">
      <alignment horizontal="left" vertical="center" wrapText="1"/>
    </xf>
    <xf numFmtId="0" fontId="9" fillId="7" borderId="9" xfId="1" applyNumberFormat="1" applyFont="1" applyFill="1" applyBorder="1" applyAlignment="1">
      <alignment horizontal="left" vertical="center" wrapText="1"/>
    </xf>
    <xf numFmtId="0" fontId="9" fillId="0" borderId="9" xfId="1" applyNumberFormat="1" applyFont="1" applyFill="1" applyBorder="1" applyAlignment="1">
      <alignment horizontal="left" vertical="center"/>
    </xf>
    <xf numFmtId="0" fontId="9" fillId="3" borderId="9" xfId="1" applyNumberFormat="1" applyFont="1" applyFill="1" applyBorder="1" applyAlignment="1">
      <alignment horizontal="center" vertical="center" wrapText="1"/>
    </xf>
    <xf numFmtId="0" fontId="9" fillId="3" borderId="7" xfId="1" applyNumberFormat="1" applyFont="1" applyFill="1" applyBorder="1" applyAlignment="1">
      <alignment horizontal="center" vertical="center" wrapText="1"/>
    </xf>
    <xf numFmtId="0" fontId="10" fillId="4" borderId="9" xfId="1" applyNumberFormat="1" applyFont="1" applyFill="1" applyBorder="1" applyAlignment="1">
      <alignment horizontal="right" vertical="center" wrapText="1"/>
    </xf>
    <xf numFmtId="0" fontId="10" fillId="4" borderId="7" xfId="1" applyNumberFormat="1" applyFont="1" applyFill="1" applyBorder="1" applyAlignment="1">
      <alignment horizontal="right" vertical="center" wrapText="1"/>
    </xf>
    <xf numFmtId="0" fontId="9" fillId="4" borderId="7" xfId="1" applyNumberFormat="1" applyFont="1" applyFill="1" applyBorder="1" applyAlignment="1">
      <alignment horizontal="right" vertical="center" wrapText="1"/>
    </xf>
    <xf numFmtId="0" fontId="9" fillId="4" borderId="7" xfId="1" applyNumberFormat="1" applyFont="1" applyFill="1" applyBorder="1" applyAlignment="1" applyProtection="1">
      <alignment horizontal="right" vertical="center" wrapText="1"/>
    </xf>
    <xf numFmtId="0" fontId="10" fillId="4" borderId="9" xfId="1" applyNumberFormat="1" applyFont="1" applyFill="1" applyBorder="1" applyAlignment="1">
      <alignment horizontal="right" vertical="center"/>
    </xf>
    <xf numFmtId="0" fontId="9" fillId="4" borderId="7" xfId="1" applyNumberFormat="1" applyFont="1" applyFill="1" applyBorder="1" applyAlignment="1">
      <alignment horizontal="right" vertical="center"/>
    </xf>
    <xf numFmtId="0" fontId="9" fillId="4" borderId="7" xfId="1" applyNumberFormat="1" applyFont="1" applyFill="1" applyBorder="1" applyAlignment="1" applyProtection="1">
      <alignment horizontal="right" vertical="center"/>
    </xf>
    <xf numFmtId="0" fontId="9" fillId="0" borderId="5" xfId="1" applyNumberFormat="1" applyFont="1" applyFill="1" applyBorder="1" applyAlignment="1">
      <alignment horizontal="center" vertical="center" wrapText="1"/>
    </xf>
    <xf numFmtId="166" fontId="9" fillId="0" borderId="10" xfId="1" applyNumberFormat="1" applyFont="1" applyFill="1" applyBorder="1" applyAlignment="1">
      <alignment horizontal="center" vertical="center"/>
    </xf>
    <xf numFmtId="166" fontId="9" fillId="0" borderId="11" xfId="1" applyNumberFormat="1" applyFont="1" applyFill="1" applyBorder="1" applyAlignment="1">
      <alignment horizontal="center" vertical="center" wrapText="1"/>
    </xf>
    <xf numFmtId="166" fontId="9" fillId="5" borderId="11" xfId="1" applyNumberFormat="1" applyFont="1" applyFill="1" applyBorder="1" applyAlignment="1">
      <alignment horizontal="center" vertical="center" wrapText="1"/>
    </xf>
    <xf numFmtId="166" fontId="9" fillId="6" borderId="11" xfId="1" applyNumberFormat="1" applyFont="1" applyFill="1" applyBorder="1" applyAlignment="1" applyProtection="1">
      <alignment horizontal="center" vertical="center" wrapText="1"/>
    </xf>
    <xf numFmtId="166" fontId="9" fillId="7" borderId="10" xfId="1" applyNumberFormat="1" applyFont="1" applyFill="1" applyBorder="1" applyAlignment="1">
      <alignment horizontal="center" vertical="center" wrapText="1"/>
    </xf>
    <xf numFmtId="166" fontId="9" fillId="0" borderId="11" xfId="1" applyNumberFormat="1" applyFont="1" applyFill="1" applyBorder="1" applyAlignment="1">
      <alignment horizontal="center" vertical="center"/>
    </xf>
    <xf numFmtId="166" fontId="9" fillId="0" borderId="10" xfId="1" applyNumberFormat="1" applyFont="1" applyFill="1" applyBorder="1" applyAlignment="1">
      <alignment horizontal="center" vertical="center" wrapText="1"/>
    </xf>
    <xf numFmtId="166" fontId="9" fillId="5" borderId="11" xfId="1" applyNumberFormat="1" applyFont="1" applyFill="1" applyBorder="1" applyAlignment="1">
      <alignment horizontal="center" vertical="center"/>
    </xf>
    <xf numFmtId="166" fontId="9" fillId="6" borderId="11" xfId="1" applyNumberFormat="1" applyFont="1" applyFill="1" applyBorder="1" applyAlignment="1" applyProtection="1">
      <alignment horizontal="center" vertical="center"/>
    </xf>
    <xf numFmtId="0" fontId="0" fillId="0" borderId="0" xfId="0" applyFont="1"/>
    <xf numFmtId="0" fontId="8" fillId="0" borderId="0" xfId="0" applyFont="1"/>
    <xf numFmtId="0" fontId="0" fillId="0" borderId="0" xfId="0" applyNumberFormat="1" applyFont="1" applyAlignment="1">
      <alignment horizontal="right"/>
    </xf>
    <xf numFmtId="0" fontId="11" fillId="0" borderId="0" xfId="0" applyNumberFormat="1" applyFont="1" applyAlignment="1">
      <alignment horizontal="right" vertical="center" wrapText="1"/>
    </xf>
    <xf numFmtId="0" fontId="12" fillId="0" borderId="0" xfId="0" applyNumberFormat="1" applyFont="1" applyAlignment="1">
      <alignment horizontal="left" vertical="center"/>
    </xf>
    <xf numFmtId="0" fontId="13" fillId="8" borderId="21" xfId="0" applyFont="1" applyFill="1" applyBorder="1" applyAlignment="1">
      <alignment horizontal="centerContinuous" wrapText="1"/>
    </xf>
    <xf numFmtId="0" fontId="13" fillId="8" borderId="19" xfId="0" applyFont="1" applyFill="1" applyBorder="1" applyAlignment="1">
      <alignment horizontal="centerContinuous"/>
    </xf>
    <xf numFmtId="166" fontId="13" fillId="8" borderId="20" xfId="0" applyNumberFormat="1" applyFont="1" applyFill="1" applyBorder="1"/>
    <xf numFmtId="0" fontId="13" fillId="8" borderId="15" xfId="0" applyFont="1" applyFill="1" applyBorder="1" applyAlignment="1">
      <alignment horizontal="centerContinuous" wrapText="1"/>
    </xf>
    <xf numFmtId="0" fontId="13" fillId="8" borderId="9" xfId="0" applyFont="1" applyFill="1" applyBorder="1" applyAlignment="1">
      <alignment horizontal="centerContinuous"/>
    </xf>
    <xf numFmtId="164" fontId="13" fillId="8" borderId="9" xfId="0" applyNumberFormat="1" applyFont="1" applyFill="1" applyBorder="1" applyAlignment="1">
      <alignment horizontal="centerContinuous"/>
    </xf>
    <xf numFmtId="166" fontId="13" fillId="8" borderId="10" xfId="0" applyNumberFormat="1" applyFont="1" applyFill="1" applyBorder="1"/>
    <xf numFmtId="165" fontId="13" fillId="8" borderId="10" xfId="0" applyNumberFormat="1" applyFont="1" applyFill="1" applyBorder="1"/>
    <xf numFmtId="0" fontId="13" fillId="8" borderId="16" xfId="0" applyFont="1" applyFill="1" applyBorder="1" applyAlignment="1">
      <alignment horizontal="centerContinuous" wrapText="1"/>
    </xf>
    <xf numFmtId="0" fontId="13" fillId="8" borderId="17" xfId="0" applyFont="1" applyFill="1" applyBorder="1" applyAlignment="1">
      <alignment horizontal="centerContinuous"/>
    </xf>
    <xf numFmtId="166" fontId="13" fillId="8" borderId="18" xfId="0" applyNumberFormat="1" applyFont="1" applyFill="1" applyBorder="1"/>
  </cellXfs>
  <cellStyles count="3">
    <cellStyle name="Normal" xfId="0" builtinId="0"/>
    <cellStyle name="Normal 2" xfId="1" xr:uid="{765AF25C-145E-46DC-BA52-A3D9DFF43836}"/>
    <cellStyle name="Normal 2 2" xfId="2" xr:uid="{6EE021B8-0A53-4BC6-861A-4899D32C8D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1F040-D761-436B-AE8A-DA10C6C29EB2}">
  <dimension ref="A1:Q560"/>
  <sheetViews>
    <sheetView showGridLines="0" tabSelected="1" zoomScaleNormal="100" zoomScaleSheetLayoutView="55" workbookViewId="0">
      <pane ySplit="4" topLeftCell="A5" activePane="bottomLeft" state="frozen"/>
      <selection pane="bottomLeft" activeCell="A5" sqref="A5"/>
    </sheetView>
  </sheetViews>
  <sheetFormatPr defaultColWidth="0" defaultRowHeight="27" customHeight="1" zeroHeight="1" x14ac:dyDescent="0.3"/>
  <cols>
    <col min="1" max="1" width="10.77734375" style="7" customWidth="1"/>
    <col min="2" max="2" width="8.44140625" style="3" bestFit="1" customWidth="1"/>
    <col min="3" max="3" width="65.77734375" style="3" customWidth="1"/>
    <col min="4" max="9" width="10.77734375" style="3" customWidth="1"/>
    <col min="10" max="10" width="14.77734375" style="3" customWidth="1"/>
    <col min="11" max="11" width="7.77734375" style="3" customWidth="1"/>
    <col min="12" max="12" width="8.5546875" style="3" bestFit="1" customWidth="1"/>
    <col min="13" max="13" width="10" style="3" customWidth="1"/>
    <col min="14" max="14" width="9.109375" style="3" customWidth="1"/>
    <col min="15" max="17" width="9.109375" style="3" hidden="1"/>
    <col min="18" max="16384" width="8.88671875" style="3" hidden="1"/>
  </cols>
  <sheetData>
    <row r="1" spans="1:14" ht="15" customHeight="1" x14ac:dyDescent="0.3">
      <c r="A1" s="45" t="s">
        <v>67</v>
      </c>
      <c r="B1" s="46"/>
      <c r="C1" s="48" t="s">
        <v>0</v>
      </c>
      <c r="D1" s="48"/>
      <c r="E1" s="48"/>
      <c r="F1" s="48"/>
      <c r="G1" s="48"/>
      <c r="H1" s="48"/>
      <c r="I1" s="1"/>
      <c r="J1" s="1"/>
      <c r="K1" s="1"/>
      <c r="L1" s="1"/>
      <c r="M1" s="2"/>
      <c r="N1" s="2"/>
    </row>
    <row r="2" spans="1:14" ht="15" customHeight="1" x14ac:dyDescent="0.3">
      <c r="A2" s="47" t="s">
        <v>66</v>
      </c>
      <c r="B2" s="47"/>
      <c r="C2" s="47"/>
      <c r="D2" s="47"/>
      <c r="E2" s="47"/>
      <c r="F2" s="47"/>
      <c r="G2" s="47"/>
      <c r="H2" s="47"/>
      <c r="I2" s="44"/>
      <c r="J2" s="44"/>
      <c r="K2" s="44"/>
      <c r="L2" s="44"/>
      <c r="M2" s="2"/>
      <c r="N2" s="2"/>
    </row>
    <row r="3" spans="1:14" ht="15" customHeight="1" thickBot="1" x14ac:dyDescent="0.35">
      <c r="A3" s="47" t="s">
        <v>65</v>
      </c>
      <c r="B3" s="47"/>
      <c r="C3" s="47"/>
      <c r="D3" s="47"/>
      <c r="E3" s="47"/>
      <c r="F3" s="47"/>
      <c r="G3" s="47"/>
      <c r="H3" s="47"/>
      <c r="I3" s="44"/>
      <c r="J3" s="44"/>
      <c r="K3" s="44"/>
      <c r="L3" s="44"/>
      <c r="M3" s="2"/>
      <c r="N3" s="2"/>
    </row>
    <row r="4" spans="1:14" ht="15" customHeight="1" thickTop="1" x14ac:dyDescent="0.3">
      <c r="A4" s="52" t="s">
        <v>1</v>
      </c>
      <c r="B4" s="54" t="s">
        <v>2</v>
      </c>
      <c r="C4" s="58" t="s">
        <v>3</v>
      </c>
      <c r="D4" s="58" t="s">
        <v>4</v>
      </c>
      <c r="E4" s="58" t="s">
        <v>5</v>
      </c>
      <c r="F4" s="58" t="s">
        <v>6</v>
      </c>
      <c r="G4" s="58" t="s">
        <v>7</v>
      </c>
      <c r="H4" s="58" t="s">
        <v>8</v>
      </c>
      <c r="I4" s="58" t="s">
        <v>9</v>
      </c>
      <c r="J4" s="58" t="s">
        <v>10</v>
      </c>
      <c r="K4" s="58" t="s">
        <v>11</v>
      </c>
      <c r="L4" s="84" t="s">
        <v>12</v>
      </c>
      <c r="M4" s="19"/>
      <c r="N4" s="19"/>
    </row>
    <row r="5" spans="1:14" s="43" customFormat="1" ht="81" x14ac:dyDescent="0.3">
      <c r="A5" s="51">
        <f>IFERROR(LOOKUP(2,1/(ISNUMBER($A$4:$A$4)),$A$4:$A$4),0)+1</f>
        <v>1</v>
      </c>
      <c r="B5" s="55" t="s">
        <v>13</v>
      </c>
      <c r="C5" s="41" t="s">
        <v>14</v>
      </c>
      <c r="D5" s="59"/>
      <c r="E5" s="21"/>
      <c r="F5" s="21"/>
      <c r="G5" s="21"/>
      <c r="H5" s="67"/>
      <c r="I5" s="72"/>
      <c r="J5" s="75"/>
      <c r="K5" s="77"/>
      <c r="L5" s="85"/>
      <c r="M5" s="19"/>
      <c r="N5" s="19"/>
    </row>
    <row r="6" spans="1:14" s="4" customFormat="1" ht="15.6" x14ac:dyDescent="0.3">
      <c r="A6" s="18"/>
      <c r="B6" s="55"/>
      <c r="C6" s="20" t="s">
        <v>15</v>
      </c>
      <c r="D6" s="60">
        <f>ROUND(0.786,4)</f>
        <v>0.78600000000000003</v>
      </c>
      <c r="E6" s="22">
        <f>ROUND(3.3,4)</f>
        <v>3.3</v>
      </c>
      <c r="F6" s="22">
        <f>ROUND(3.3,4)</f>
        <v>3.3</v>
      </c>
      <c r="G6" s="22">
        <f>ROUND(1.15,4)</f>
        <v>1.1499999999999999</v>
      </c>
      <c r="H6" s="68">
        <f>D6*IF(OR(E6=0,E6="-"),1,E6)*IF(OR(F6=0,F6="-"),1,F6)*IF(OR(G6=0,G6="-"),1,G6)</f>
        <v>9.8434709999999974</v>
      </c>
      <c r="I6" s="38" t="s">
        <v>16</v>
      </c>
      <c r="J6" s="76"/>
      <c r="K6" s="78"/>
      <c r="L6" s="86"/>
      <c r="M6" s="19"/>
      <c r="N6" s="19"/>
    </row>
    <row r="7" spans="1:14" s="4" customFormat="1" ht="15.6" x14ac:dyDescent="0.3">
      <c r="A7" s="9"/>
      <c r="B7" s="10"/>
      <c r="C7" s="35"/>
      <c r="D7" s="61"/>
      <c r="E7" s="26"/>
      <c r="F7" s="33" t="s">
        <v>17</v>
      </c>
      <c r="G7" s="33"/>
      <c r="H7" s="69">
        <f>SUM(H6:H6)</f>
        <v>9.8434709999999974</v>
      </c>
      <c r="I7" s="26" t="s">
        <v>16</v>
      </c>
      <c r="J7" s="76"/>
      <c r="K7" s="79"/>
      <c r="L7" s="87"/>
      <c r="M7" s="19"/>
      <c r="N7" s="19"/>
    </row>
    <row r="8" spans="1:14" s="4" customFormat="1" ht="31.2" x14ac:dyDescent="0.3">
      <c r="A8" s="11"/>
      <c r="B8" s="12"/>
      <c r="C8" s="36"/>
      <c r="D8" s="62"/>
      <c r="E8" s="34" t="s">
        <v>17</v>
      </c>
      <c r="F8" s="34"/>
      <c r="G8" s="34"/>
      <c r="H8" s="69">
        <f>ROUND(H7*1,3)</f>
        <v>9.843</v>
      </c>
      <c r="I8" s="28" t="s">
        <v>16</v>
      </c>
      <c r="J8" s="76" t="s">
        <v>63</v>
      </c>
      <c r="K8" s="80">
        <f>IF(B5="4.12.1",IF(J8="Labour Rate 01.04.23",15,IF(J8="Machinery Rate 01.04.23",62,IF(J8="Through Rate 01.04.23",78,0))),"")</f>
        <v>78</v>
      </c>
      <c r="L8" s="88">
        <f>IF(H8*K8&lt;&gt;0,H8*K8,0)</f>
        <v>767.75400000000002</v>
      </c>
      <c r="M8" s="19"/>
      <c r="N8" s="19"/>
    </row>
    <row r="9" spans="1:14" s="4" customFormat="1" ht="13.95" customHeight="1" x14ac:dyDescent="0.3">
      <c r="A9" s="53"/>
      <c r="B9" s="56"/>
      <c r="C9" s="37"/>
      <c r="D9" s="63"/>
      <c r="E9" s="32"/>
      <c r="F9" s="32"/>
      <c r="G9" s="32"/>
      <c r="H9" s="67"/>
      <c r="I9" s="73"/>
      <c r="J9" s="75"/>
      <c r="K9" s="77"/>
      <c r="L9" s="89"/>
      <c r="M9" s="19"/>
      <c r="N9" s="19"/>
    </row>
    <row r="10" spans="1:14" s="40" customFormat="1" ht="65.400000000000006" x14ac:dyDescent="0.3">
      <c r="A10" s="51">
        <f>IFERROR(LOOKUP(2,1/(ISNUMBER($A$4:$A$9)),$A$4:$A$9),0)+1</f>
        <v>2</v>
      </c>
      <c r="B10" s="55" t="s">
        <v>18</v>
      </c>
      <c r="C10" s="41" t="s">
        <v>19</v>
      </c>
      <c r="D10" s="64"/>
      <c r="E10" s="21"/>
      <c r="F10" s="21"/>
      <c r="G10" s="21"/>
      <c r="H10" s="67"/>
      <c r="I10" s="72"/>
      <c r="J10" s="75"/>
      <c r="K10" s="77"/>
      <c r="L10" s="85"/>
      <c r="M10" s="19"/>
      <c r="N10" s="19"/>
    </row>
    <row r="11" spans="1:14" s="4" customFormat="1" ht="15.6" x14ac:dyDescent="0.3">
      <c r="A11" s="18"/>
      <c r="B11" s="55"/>
      <c r="C11" s="22" t="s">
        <v>20</v>
      </c>
      <c r="D11" s="60">
        <f>ROUND(0.786,4)</f>
        <v>0.78600000000000003</v>
      </c>
      <c r="E11" s="22">
        <f>ROUND(3.3,4)</f>
        <v>3.3</v>
      </c>
      <c r="F11" s="22">
        <f>ROUND(3.3,4)</f>
        <v>3.3</v>
      </c>
      <c r="G11" s="22">
        <f>ROUND(0.15,4)</f>
        <v>0.15</v>
      </c>
      <c r="H11" s="68">
        <f>D11*IF(OR(E11=0,E11="-"),1,E11)*IF(OR(F11=0,F11="-"),1,F11)*IF(OR(G11=0,G11="-"),1,G11)</f>
        <v>1.2839309999999997</v>
      </c>
      <c r="I11" s="38" t="s">
        <v>16</v>
      </c>
      <c r="J11" s="76"/>
      <c r="K11" s="78"/>
      <c r="L11" s="86"/>
      <c r="M11" s="19"/>
      <c r="N11" s="19"/>
    </row>
    <row r="12" spans="1:14" s="4" customFormat="1" ht="15.6" x14ac:dyDescent="0.3">
      <c r="A12" s="9"/>
      <c r="B12" s="10"/>
      <c r="C12" s="26"/>
      <c r="D12" s="61"/>
      <c r="E12" s="26"/>
      <c r="F12" s="33" t="s">
        <v>17</v>
      </c>
      <c r="G12" s="33"/>
      <c r="H12" s="69">
        <f>SUM(H11:H11)</f>
        <v>1.2839309999999997</v>
      </c>
      <c r="I12" s="26" t="s">
        <v>16</v>
      </c>
      <c r="J12" s="76"/>
      <c r="K12" s="79"/>
      <c r="L12" s="87"/>
      <c r="M12" s="19"/>
      <c r="N12" s="19"/>
    </row>
    <row r="13" spans="1:14" s="4" customFormat="1" ht="31.2" x14ac:dyDescent="0.3">
      <c r="A13" s="11"/>
      <c r="B13" s="12"/>
      <c r="C13" s="28"/>
      <c r="D13" s="62"/>
      <c r="E13" s="34" t="s">
        <v>17</v>
      </c>
      <c r="F13" s="34"/>
      <c r="G13" s="34"/>
      <c r="H13" s="69">
        <f>ROUND(H12*1,3)</f>
        <v>1.284</v>
      </c>
      <c r="I13" s="28" t="s">
        <v>16</v>
      </c>
      <c r="J13" s="76" t="s">
        <v>63</v>
      </c>
      <c r="K13" s="80">
        <f>IF(B10="6.1.6",IF(J13="Labour Rate 01.04.23",496,IF(J13="Material Rate 01.04.23",1947,IF(J13="Through Rate 01.04.23",2442,0))),"")</f>
        <v>2442</v>
      </c>
      <c r="L13" s="88">
        <f>IF(H13*K13&lt;&gt;0,H13*K13,0)</f>
        <v>3135.5280000000002</v>
      </c>
      <c r="M13" s="19"/>
      <c r="N13" s="19"/>
    </row>
    <row r="14" spans="1:14" s="4" customFormat="1" ht="13.95" customHeight="1" x14ac:dyDescent="0.3">
      <c r="A14" s="53"/>
      <c r="B14" s="56"/>
      <c r="C14" s="32"/>
      <c r="D14" s="63"/>
      <c r="E14" s="32"/>
      <c r="F14" s="32"/>
      <c r="G14" s="32"/>
      <c r="H14" s="67"/>
      <c r="I14" s="73"/>
      <c r="J14" s="75"/>
      <c r="K14" s="77"/>
      <c r="L14" s="89"/>
      <c r="M14" s="19"/>
      <c r="N14" s="19"/>
    </row>
    <row r="15" spans="1:14" s="40" customFormat="1" ht="65.400000000000006" x14ac:dyDescent="0.3">
      <c r="A15" s="51">
        <f>IFERROR(LOOKUP(2,1/(ISNUMBER($A$4:$A$14)),$A$4:$A$14),0)+1</f>
        <v>3</v>
      </c>
      <c r="B15" s="55" t="s">
        <v>21</v>
      </c>
      <c r="C15" s="41" t="s">
        <v>22</v>
      </c>
      <c r="D15" s="64"/>
      <c r="E15" s="21"/>
      <c r="F15" s="21"/>
      <c r="G15" s="21"/>
      <c r="H15" s="67"/>
      <c r="I15" s="72"/>
      <c r="J15" s="75"/>
      <c r="K15" s="77"/>
      <c r="L15" s="85"/>
      <c r="M15" s="19"/>
      <c r="N15" s="19"/>
    </row>
    <row r="16" spans="1:14" s="4" customFormat="1" ht="15.6" x14ac:dyDescent="0.3">
      <c r="A16" s="18"/>
      <c r="B16" s="55"/>
      <c r="C16" s="22" t="s">
        <v>23</v>
      </c>
      <c r="D16" s="60">
        <f>ROUND(0.786,4)</f>
        <v>0.78600000000000003</v>
      </c>
      <c r="E16" s="22">
        <f>ROUND(2.1,4)</f>
        <v>2.1</v>
      </c>
      <c r="F16" s="22">
        <f>ROUND(2.1,4)</f>
        <v>2.1</v>
      </c>
      <c r="G16" s="22">
        <f>ROUND(0.1,4)</f>
        <v>0.1</v>
      </c>
      <c r="H16" s="68">
        <f>D16*IF(OR(E16=0,E16="-"),1,E16)*IF(OR(F16=0,F16="-"),1,F16)*IF(OR(G16=0,G16="-"),1,G16)</f>
        <v>0.34662600000000005</v>
      </c>
      <c r="I16" s="38" t="s">
        <v>16</v>
      </c>
      <c r="J16" s="76"/>
      <c r="K16" s="78"/>
      <c r="L16" s="86"/>
      <c r="M16" s="19"/>
      <c r="N16" s="19"/>
    </row>
    <row r="17" spans="1:14" s="4" customFormat="1" ht="15.6" x14ac:dyDescent="0.3">
      <c r="A17" s="9"/>
      <c r="B17" s="10"/>
      <c r="C17" s="26"/>
      <c r="D17" s="61"/>
      <c r="E17" s="26"/>
      <c r="F17" s="33" t="s">
        <v>17</v>
      </c>
      <c r="G17" s="33"/>
      <c r="H17" s="69">
        <f>SUM(H16:H16)</f>
        <v>0.34662600000000005</v>
      </c>
      <c r="I17" s="26" t="s">
        <v>16</v>
      </c>
      <c r="J17" s="76"/>
      <c r="K17" s="79"/>
      <c r="L17" s="87"/>
      <c r="M17" s="19"/>
      <c r="N17" s="19"/>
    </row>
    <row r="18" spans="1:14" s="4" customFormat="1" ht="31.2" x14ac:dyDescent="0.3">
      <c r="A18" s="11"/>
      <c r="B18" s="12"/>
      <c r="C18" s="28"/>
      <c r="D18" s="62"/>
      <c r="E18" s="34" t="s">
        <v>17</v>
      </c>
      <c r="F18" s="34"/>
      <c r="G18" s="34"/>
      <c r="H18" s="69">
        <f>ROUND(H17*1,3)</f>
        <v>0.34699999999999998</v>
      </c>
      <c r="I18" s="28" t="s">
        <v>16</v>
      </c>
      <c r="J18" s="76" t="s">
        <v>63</v>
      </c>
      <c r="K18" s="80">
        <f>IF(B15="6.1.1",IF(J18="Labour Rate 01.04.23",772,IF(J18="Material Rate 01.04.23",3203,IF(J18="Through Rate 01.04.23",3975,0))),"")</f>
        <v>3975</v>
      </c>
      <c r="L18" s="88">
        <f>IF(H18*K18&lt;&gt;0,H18*K18,0)</f>
        <v>1379.3249999999998</v>
      </c>
      <c r="M18" s="19"/>
      <c r="N18" s="19"/>
    </row>
    <row r="19" spans="1:14" s="4" customFormat="1" ht="13.95" customHeight="1" x14ac:dyDescent="0.3">
      <c r="A19" s="53"/>
      <c r="B19" s="56"/>
      <c r="C19" s="32"/>
      <c r="D19" s="63"/>
      <c r="E19" s="32"/>
      <c r="F19" s="32"/>
      <c r="G19" s="32"/>
      <c r="H19" s="67"/>
      <c r="I19" s="73"/>
      <c r="J19" s="75"/>
      <c r="K19" s="77"/>
      <c r="L19" s="89"/>
      <c r="M19" s="19"/>
      <c r="N19" s="19"/>
    </row>
    <row r="20" spans="1:14" s="40" customFormat="1" ht="53.4" x14ac:dyDescent="0.3">
      <c r="A20" s="51">
        <f>IFERROR(LOOKUP(2,1/(ISNUMBER($A$4:$A$19)),$A$4:$A$19),0)+1</f>
        <v>4</v>
      </c>
      <c r="B20" s="55" t="s">
        <v>24</v>
      </c>
      <c r="C20" s="39" t="s">
        <v>25</v>
      </c>
      <c r="D20" s="59"/>
      <c r="E20" s="21"/>
      <c r="F20" s="23"/>
      <c r="G20" s="21"/>
      <c r="H20" s="67"/>
      <c r="I20" s="72"/>
      <c r="J20" s="75"/>
      <c r="K20" s="77"/>
      <c r="L20" s="85"/>
      <c r="M20" s="19"/>
      <c r="N20" s="19"/>
    </row>
    <row r="21" spans="1:14" s="4" customFormat="1" ht="15.6" x14ac:dyDescent="0.3">
      <c r="A21" s="18"/>
      <c r="B21" s="55"/>
      <c r="C21" s="22"/>
      <c r="D21" s="60">
        <f>ROUND(3.14,4)</f>
        <v>3.14</v>
      </c>
      <c r="E21" s="22">
        <f>ROUND(1.5,4)</f>
        <v>1.5</v>
      </c>
      <c r="F21" s="24">
        <f>ROUND(1.5,4)</f>
        <v>1.5</v>
      </c>
      <c r="G21" s="22"/>
      <c r="H21" s="68">
        <f>D21*IF(OR(E21=0,E21="-"),1,E21)*IF(OR(F21=0,F21="-"),1,F21)*IF(OR(G21=0,G21="-"),1,G21)</f>
        <v>7.0649999999999995</v>
      </c>
      <c r="I21" s="38" t="s">
        <v>26</v>
      </c>
      <c r="J21" s="76"/>
      <c r="K21" s="78"/>
      <c r="L21" s="90"/>
      <c r="M21" s="19"/>
      <c r="N21" s="19"/>
    </row>
    <row r="22" spans="1:14" s="5" customFormat="1" ht="15.6" x14ac:dyDescent="0.3">
      <c r="A22" s="9"/>
      <c r="B22" s="10"/>
      <c r="C22" s="26"/>
      <c r="D22" s="61"/>
      <c r="E22" s="26"/>
      <c r="F22" s="33" t="s">
        <v>27</v>
      </c>
      <c r="G22" s="33"/>
      <c r="H22" s="69">
        <f>SUM(H21:H21)</f>
        <v>7.0649999999999995</v>
      </c>
      <c r="I22" s="26" t="s">
        <v>26</v>
      </c>
      <c r="J22" s="76"/>
      <c r="K22" s="79"/>
      <c r="L22" s="87"/>
      <c r="M22" s="19"/>
      <c r="N22" s="19"/>
    </row>
    <row r="23" spans="1:14" s="5" customFormat="1" ht="31.2" x14ac:dyDescent="0.3">
      <c r="A23" s="11"/>
      <c r="B23" s="12"/>
      <c r="C23" s="28"/>
      <c r="D23" s="62"/>
      <c r="E23" s="34" t="s">
        <v>27</v>
      </c>
      <c r="F23" s="34"/>
      <c r="G23" s="34"/>
      <c r="H23" s="69">
        <f>ROUND(H22*1,3)</f>
        <v>7.0650000000000004</v>
      </c>
      <c r="I23" s="28" t="s">
        <v>26</v>
      </c>
      <c r="J23" s="76" t="s">
        <v>63</v>
      </c>
      <c r="K23" s="80">
        <f>IF(B20="6.30.3",IF(J23="Labour Rate 01.04.23",141,IF(J23="Material Rate 01.04.23",67,IF(J23="Through Rate 01.04.23",208,0))),"")</f>
        <v>208</v>
      </c>
      <c r="L23" s="88">
        <f>IF(H23*K23&lt;&gt;0,H23*K23,0)</f>
        <v>1469.52</v>
      </c>
      <c r="M23" s="19"/>
      <c r="N23" s="19"/>
    </row>
    <row r="24" spans="1:14" s="5" customFormat="1" ht="13.95" customHeight="1" x14ac:dyDescent="0.3">
      <c r="A24" s="53"/>
      <c r="B24" s="56"/>
      <c r="C24" s="32"/>
      <c r="D24" s="63"/>
      <c r="E24" s="32"/>
      <c r="F24" s="32"/>
      <c r="G24" s="32"/>
      <c r="H24" s="67"/>
      <c r="I24" s="73"/>
      <c r="J24" s="75"/>
      <c r="K24" s="77"/>
      <c r="L24" s="89"/>
      <c r="M24" s="19"/>
      <c r="N24" s="19"/>
    </row>
    <row r="25" spans="1:14" s="40" customFormat="1" ht="82.8" x14ac:dyDescent="0.3">
      <c r="A25" s="51">
        <f>IFERROR(LOOKUP(2,1/(ISNUMBER($A$4:$A$24)),$A$4:$A$24),0)+1</f>
        <v>5</v>
      </c>
      <c r="B25" s="55" t="s">
        <v>28</v>
      </c>
      <c r="C25" s="41" t="s">
        <v>29</v>
      </c>
      <c r="D25" s="59"/>
      <c r="E25" s="21"/>
      <c r="F25" s="21"/>
      <c r="G25" s="21"/>
      <c r="H25" s="67"/>
      <c r="I25" s="72"/>
      <c r="J25" s="75"/>
      <c r="K25" s="77"/>
      <c r="L25" s="85"/>
      <c r="M25" s="19"/>
      <c r="N25" s="19"/>
    </row>
    <row r="26" spans="1:14" s="4" customFormat="1" ht="15.6" x14ac:dyDescent="0.3">
      <c r="A26" s="18"/>
      <c r="B26" s="55"/>
      <c r="C26" s="22" t="s">
        <v>30</v>
      </c>
      <c r="D26" s="60">
        <f>ROUND(0.786,4)</f>
        <v>0.78600000000000003</v>
      </c>
      <c r="E26" s="22">
        <f>ROUND(1.96,4)</f>
        <v>1.96</v>
      </c>
      <c r="F26" s="22">
        <f>ROUND(1.96,4)</f>
        <v>1.96</v>
      </c>
      <c r="G26" s="22">
        <f>ROUND(0.15,4)</f>
        <v>0.15</v>
      </c>
      <c r="H26" s="68">
        <f>D26*IF(OR(E26=0,E26="-"),1,E26)*IF(OR(F26=0,F26="-"),1,F26)*IF(OR(G26=0,G26="-"),1,G26)</f>
        <v>0.45292463999999993</v>
      </c>
      <c r="I26" s="38" t="s">
        <v>16</v>
      </c>
      <c r="J26" s="76"/>
      <c r="K26" s="78"/>
      <c r="L26" s="90"/>
      <c r="M26" s="19"/>
      <c r="N26" s="19"/>
    </row>
    <row r="27" spans="1:14" s="4" customFormat="1" ht="15.6" x14ac:dyDescent="0.3">
      <c r="A27" s="18"/>
      <c r="B27" s="55"/>
      <c r="C27" s="22" t="s">
        <v>31</v>
      </c>
      <c r="D27" s="60">
        <f>ROUND(-0.786,4)</f>
        <v>-0.78600000000000003</v>
      </c>
      <c r="E27" s="22">
        <f>ROUND(0.56,4)</f>
        <v>0.56000000000000005</v>
      </c>
      <c r="F27" s="22">
        <f>ROUND(0.56,4)</f>
        <v>0.56000000000000005</v>
      </c>
      <c r="G27" s="22">
        <f>ROUND(0.15,4)</f>
        <v>0.15</v>
      </c>
      <c r="H27" s="68">
        <f>D27*IF(OR(E27=0,E27="-"),1,E27)*IF(OR(F27=0,F27="-"),1,F27)*IF(OR(G27=0,G27="-"),1,G27)</f>
        <v>-3.697344000000001E-2</v>
      </c>
      <c r="I27" s="38" t="s">
        <v>16</v>
      </c>
      <c r="J27" s="76"/>
      <c r="K27" s="78"/>
      <c r="L27" s="90"/>
      <c r="M27" s="19"/>
      <c r="N27" s="19"/>
    </row>
    <row r="28" spans="1:14" s="4" customFormat="1" ht="15.6" x14ac:dyDescent="0.3">
      <c r="A28" s="9"/>
      <c r="B28" s="10"/>
      <c r="C28" s="26"/>
      <c r="D28" s="61"/>
      <c r="E28" s="26"/>
      <c r="F28" s="33" t="s">
        <v>17</v>
      </c>
      <c r="G28" s="33"/>
      <c r="H28" s="69">
        <f>SUM(H26:H27)</f>
        <v>0.41595119999999991</v>
      </c>
      <c r="I28" s="26" t="s">
        <v>16</v>
      </c>
      <c r="J28" s="76"/>
      <c r="K28" s="79"/>
      <c r="L28" s="87"/>
      <c r="M28" s="19"/>
      <c r="N28" s="19"/>
    </row>
    <row r="29" spans="1:14" s="4" customFormat="1" ht="31.2" x14ac:dyDescent="0.3">
      <c r="A29" s="11"/>
      <c r="B29" s="12"/>
      <c r="C29" s="28"/>
      <c r="D29" s="62"/>
      <c r="E29" s="34" t="s">
        <v>17</v>
      </c>
      <c r="F29" s="34"/>
      <c r="G29" s="34"/>
      <c r="H29" s="69">
        <f>ROUND(H28*1,3)</f>
        <v>0.41599999999999998</v>
      </c>
      <c r="I29" s="28" t="s">
        <v>16</v>
      </c>
      <c r="J29" s="76" t="s">
        <v>63</v>
      </c>
      <c r="K29" s="80">
        <f>IF(B25="6.16",IF(J29="Labour Rate 01.04.23",2909,IF(J29="Material Rate 01.04.23",3203,IF(J29="Through Rate 01.04.23",6113,0))),"")</f>
        <v>6113</v>
      </c>
      <c r="L29" s="88">
        <f>IF(H29*K29&lt;&gt;0,H29*K29,0)</f>
        <v>2543.0079999999998</v>
      </c>
      <c r="M29" s="19"/>
      <c r="N29" s="19"/>
    </row>
    <row r="30" spans="1:14" s="4" customFormat="1" ht="13.95" customHeight="1" x14ac:dyDescent="0.3">
      <c r="A30" s="53"/>
      <c r="B30" s="56"/>
      <c r="C30" s="32"/>
      <c r="D30" s="63"/>
      <c r="E30" s="32"/>
      <c r="F30" s="32"/>
      <c r="G30" s="32"/>
      <c r="H30" s="67"/>
      <c r="I30" s="73"/>
      <c r="J30" s="75"/>
      <c r="K30" s="77"/>
      <c r="L30" s="89"/>
      <c r="M30" s="19"/>
      <c r="N30" s="19"/>
    </row>
    <row r="31" spans="1:14" s="40" customFormat="1" ht="39.6" x14ac:dyDescent="0.3">
      <c r="A31" s="51">
        <f>IFERROR(LOOKUP(2,1/(ISNUMBER($A$4:$A$30)),$A$4:$A$30),0)+1</f>
        <v>6</v>
      </c>
      <c r="B31" s="55" t="s">
        <v>32</v>
      </c>
      <c r="C31" s="39" t="s">
        <v>33</v>
      </c>
      <c r="D31" s="64"/>
      <c r="E31" s="21"/>
      <c r="F31" s="21"/>
      <c r="G31" s="21"/>
      <c r="H31" s="67"/>
      <c r="I31" s="72"/>
      <c r="J31" s="75"/>
      <c r="K31" s="77"/>
      <c r="L31" s="85"/>
      <c r="M31" s="19"/>
      <c r="N31" s="19"/>
    </row>
    <row r="32" spans="1:14" s="4" customFormat="1" ht="15.6" x14ac:dyDescent="0.3">
      <c r="A32" s="18"/>
      <c r="B32" s="55"/>
      <c r="C32" s="22" t="s">
        <v>34</v>
      </c>
      <c r="D32" s="60">
        <v>1</v>
      </c>
      <c r="E32" s="22">
        <f>ROUND(0.786,4)</f>
        <v>0.78600000000000003</v>
      </c>
      <c r="F32" s="22">
        <f>ROUND(1.5916,4)</f>
        <v>1.5915999999999999</v>
      </c>
      <c r="G32" s="22">
        <f>ROUND(1.2509976,4)</f>
        <v>1.2509999999999999</v>
      </c>
      <c r="H32" s="68">
        <f>D32*IF(OR(E32=0,E32="-"),1,E32)*IF(OR(F32=0,F32="-"),1,F32)*IF(OR(G32=0,G32="-"),1,G32)</f>
        <v>1.5649979975999999</v>
      </c>
      <c r="I32" s="38" t="s">
        <v>16</v>
      </c>
      <c r="J32" s="76"/>
      <c r="K32" s="78"/>
      <c r="L32" s="90"/>
      <c r="M32" s="19"/>
      <c r="N32" s="19"/>
    </row>
    <row r="33" spans="1:14" s="4" customFormat="1" ht="15.6" x14ac:dyDescent="0.3">
      <c r="A33" s="9"/>
      <c r="B33" s="10"/>
      <c r="C33" s="26"/>
      <c r="D33" s="61"/>
      <c r="E33" s="26"/>
      <c r="F33" s="33" t="s">
        <v>17</v>
      </c>
      <c r="G33" s="33"/>
      <c r="H33" s="69">
        <f>SUM(H32:H32)</f>
        <v>1.5649979975999999</v>
      </c>
      <c r="I33" s="26" t="s">
        <v>16</v>
      </c>
      <c r="J33" s="76"/>
      <c r="K33" s="79"/>
      <c r="L33" s="87"/>
      <c r="M33" s="19"/>
      <c r="N33" s="19"/>
    </row>
    <row r="34" spans="1:14" s="4" customFormat="1" ht="31.2" x14ac:dyDescent="0.3">
      <c r="A34" s="11"/>
      <c r="B34" s="12"/>
      <c r="C34" s="28"/>
      <c r="D34" s="62"/>
      <c r="E34" s="34" t="s">
        <v>17</v>
      </c>
      <c r="F34" s="34"/>
      <c r="G34" s="34"/>
      <c r="H34" s="69">
        <f>ROUND(H33*1,3)</f>
        <v>1.5649999999999999</v>
      </c>
      <c r="I34" s="28" t="s">
        <v>16</v>
      </c>
      <c r="J34" s="76" t="s">
        <v>64</v>
      </c>
      <c r="K34" s="80">
        <f>IF(B31="7.21.1",IF(J34="Labour Rate 01.04.23",384,IF(J34="Material Rate 01.04.23",3309,IF(J34="Through Rate 01.04.23",3693,IF(J34="Labour Rate 13.06.24",820,IF(J34="Material Rate 13.06.24",3309,IF(J34="Through Rate 13.06.24",4128,0)))))),"")</f>
        <v>4128</v>
      </c>
      <c r="L34" s="88">
        <f>IF(H34*K34&lt;&gt;0,H34*K34,0)</f>
        <v>6460.32</v>
      </c>
      <c r="M34" s="19"/>
      <c r="N34" s="19"/>
    </row>
    <row r="35" spans="1:14" s="4" customFormat="1" ht="13.95" customHeight="1" x14ac:dyDescent="0.3">
      <c r="A35" s="53"/>
      <c r="B35" s="56"/>
      <c r="C35" s="32"/>
      <c r="D35" s="63"/>
      <c r="E35" s="32"/>
      <c r="F35" s="32"/>
      <c r="G35" s="32"/>
      <c r="H35" s="67"/>
      <c r="I35" s="73"/>
      <c r="J35" s="75"/>
      <c r="K35" s="77"/>
      <c r="L35" s="89"/>
      <c r="M35" s="19"/>
      <c r="N35" s="19"/>
    </row>
    <row r="36" spans="1:14" s="40" customFormat="1" ht="39.6" x14ac:dyDescent="0.3">
      <c r="A36" s="51">
        <f>IFERROR(LOOKUP(2,1/(ISNUMBER($A$4:$A$35)),$A$4:$A$35),0)+1</f>
        <v>7</v>
      </c>
      <c r="B36" s="55" t="s">
        <v>35</v>
      </c>
      <c r="C36" s="41" t="s">
        <v>36</v>
      </c>
      <c r="D36" s="64"/>
      <c r="E36" s="21"/>
      <c r="F36" s="21"/>
      <c r="G36" s="21"/>
      <c r="H36" s="67"/>
      <c r="I36" s="72"/>
      <c r="J36" s="75"/>
      <c r="K36" s="77"/>
      <c r="L36" s="85"/>
      <c r="M36" s="19"/>
      <c r="N36" s="19"/>
    </row>
    <row r="37" spans="1:14" s="4" customFormat="1" ht="15.6" x14ac:dyDescent="0.3">
      <c r="A37" s="18"/>
      <c r="B37" s="55"/>
      <c r="C37" s="22" t="s">
        <v>37</v>
      </c>
      <c r="D37" s="60">
        <f>ROUND(3.14,4)</f>
        <v>3.14</v>
      </c>
      <c r="E37" s="22">
        <f>ROUND(1.52,4)</f>
        <v>1.52</v>
      </c>
      <c r="F37" s="22"/>
      <c r="G37" s="22">
        <f>ROUND(1.2509976,4)</f>
        <v>1.2509999999999999</v>
      </c>
      <c r="H37" s="68">
        <f>D37*IF(OR(E37=0,E37="-"),1,E37)*IF(OR(F37=0,F37="-"),1,F37)*IF(OR(G37=0,G37="-"),1,G37)</f>
        <v>5.9707727999999998</v>
      </c>
      <c r="I37" s="38" t="s">
        <v>26</v>
      </c>
      <c r="J37" s="76"/>
      <c r="K37" s="78"/>
      <c r="L37" s="90"/>
      <c r="M37" s="19"/>
      <c r="N37" s="19"/>
    </row>
    <row r="38" spans="1:14" s="5" customFormat="1" ht="15.6" x14ac:dyDescent="0.3">
      <c r="A38" s="9"/>
      <c r="B38" s="10"/>
      <c r="C38" s="26"/>
      <c r="D38" s="61"/>
      <c r="E38" s="26"/>
      <c r="F38" s="33" t="s">
        <v>27</v>
      </c>
      <c r="G38" s="33"/>
      <c r="H38" s="69">
        <f>SUM(H37:H37)</f>
        <v>5.9707727999999998</v>
      </c>
      <c r="I38" s="26" t="s">
        <v>26</v>
      </c>
      <c r="J38" s="76"/>
      <c r="K38" s="79"/>
      <c r="L38" s="87"/>
      <c r="M38" s="19"/>
      <c r="N38" s="19"/>
    </row>
    <row r="39" spans="1:14" s="5" customFormat="1" ht="31.2" x14ac:dyDescent="0.3">
      <c r="A39" s="11"/>
      <c r="B39" s="12"/>
      <c r="C39" s="28"/>
      <c r="D39" s="62"/>
      <c r="E39" s="34" t="s">
        <v>27</v>
      </c>
      <c r="F39" s="34"/>
      <c r="G39" s="34"/>
      <c r="H39" s="69">
        <f>ROUND(H38*1,3)</f>
        <v>5.9710000000000001</v>
      </c>
      <c r="I39" s="28" t="s">
        <v>26</v>
      </c>
      <c r="J39" s="76" t="s">
        <v>64</v>
      </c>
      <c r="K39" s="80">
        <f>IF(B36="11.5.1",IF(J39="Labour Rate 01.04.23",42,IF(J39="Material Rate 01.04.23",68,IF(J39="Through Rate 01.04.23",109,IF(J39="Labour Rate 13.06.24",71,IF(J39="Material Rate 13.06.24",68,IF(J39="Through Rate 13.06.24",139,0)))))),"")</f>
        <v>139</v>
      </c>
      <c r="L39" s="88">
        <f>IF(H39*K39&lt;&gt;0,H39*K39,0)</f>
        <v>829.96900000000005</v>
      </c>
      <c r="M39" s="19"/>
      <c r="N39" s="19"/>
    </row>
    <row r="40" spans="1:14" s="5" customFormat="1" ht="13.95" customHeight="1" x14ac:dyDescent="0.3">
      <c r="A40" s="53"/>
      <c r="B40" s="56"/>
      <c r="C40" s="32"/>
      <c r="D40" s="63"/>
      <c r="E40" s="32"/>
      <c r="F40" s="32"/>
      <c r="G40" s="32"/>
      <c r="H40" s="67"/>
      <c r="I40" s="73"/>
      <c r="J40" s="75"/>
      <c r="K40" s="77"/>
      <c r="L40" s="89"/>
      <c r="M40" s="19"/>
      <c r="N40" s="19"/>
    </row>
    <row r="41" spans="1:14" s="42" customFormat="1" ht="27.6" x14ac:dyDescent="0.3">
      <c r="A41" s="51">
        <f>IFERROR(LOOKUP(2,1/(ISNUMBER($A$4:$A$40)),$A$4:$A$40),0)+1</f>
        <v>8</v>
      </c>
      <c r="B41" s="55" t="s">
        <v>38</v>
      </c>
      <c r="C41" s="39" t="s">
        <v>39</v>
      </c>
      <c r="D41" s="64"/>
      <c r="E41" s="21"/>
      <c r="F41" s="21"/>
      <c r="G41" s="23"/>
      <c r="H41" s="70"/>
      <c r="I41" s="74"/>
      <c r="J41" s="75"/>
      <c r="K41" s="81"/>
      <c r="L41" s="85"/>
      <c r="M41" s="19"/>
      <c r="N41" s="19"/>
    </row>
    <row r="42" spans="1:14" ht="15.6" x14ac:dyDescent="0.3">
      <c r="A42" s="18"/>
      <c r="B42" s="55"/>
      <c r="C42" s="22"/>
      <c r="D42" s="60">
        <f>ROUND(5.971,4)</f>
        <v>5.9710000000000001</v>
      </c>
      <c r="E42" s="22">
        <v>1</v>
      </c>
      <c r="F42" s="22">
        <v>1</v>
      </c>
      <c r="G42" s="22"/>
      <c r="H42" s="68">
        <f>D42*IF(OR(E42=0,E42="-"),1,E42)*IF(OR(F42=0,F42="-"),1,F42)*IF(OR(G42=0,G42="-"),1,G42)</f>
        <v>5.9710000000000001</v>
      </c>
      <c r="I42" s="38" t="s">
        <v>26</v>
      </c>
      <c r="J42" s="76"/>
      <c r="K42" s="78"/>
      <c r="L42" s="86"/>
      <c r="M42" s="19"/>
      <c r="N42" s="19"/>
    </row>
    <row r="43" spans="1:14" ht="15.6" x14ac:dyDescent="0.3">
      <c r="A43" s="9"/>
      <c r="B43" s="10"/>
      <c r="C43" s="26"/>
      <c r="D43" s="61"/>
      <c r="E43" s="26"/>
      <c r="F43" s="33" t="s">
        <v>27</v>
      </c>
      <c r="G43" s="33"/>
      <c r="H43" s="69">
        <f>SUM(H42:H42)</f>
        <v>5.9710000000000001</v>
      </c>
      <c r="I43" s="26" t="s">
        <v>26</v>
      </c>
      <c r="J43" s="76"/>
      <c r="K43" s="79"/>
      <c r="L43" s="87"/>
      <c r="M43" s="19"/>
      <c r="N43" s="19"/>
    </row>
    <row r="44" spans="1:14" s="5" customFormat="1" ht="31.2" x14ac:dyDescent="0.3">
      <c r="A44" s="11"/>
      <c r="B44" s="12"/>
      <c r="C44" s="28"/>
      <c r="D44" s="62"/>
      <c r="E44" s="34" t="s">
        <v>27</v>
      </c>
      <c r="F44" s="34"/>
      <c r="G44" s="34"/>
      <c r="H44" s="69">
        <f>ROUND(H43*1,3)</f>
        <v>5.9710000000000001</v>
      </c>
      <c r="I44" s="28" t="s">
        <v>26</v>
      </c>
      <c r="J44" s="76" t="s">
        <v>63</v>
      </c>
      <c r="K44" s="80">
        <f>IF(B41="11.52",IF(J44="Labour Rate 01.04.23",21,IF(J44="Material Rate 01.04.23",7,IF(J44="Through Rate 01.04.23",28,0))),"")</f>
        <v>28</v>
      </c>
      <c r="L44" s="88">
        <f>IF(H44*K44&lt;&gt;0,H44*K44,0)</f>
        <v>167.18799999999999</v>
      </c>
      <c r="M44" s="19"/>
      <c r="N44" s="19"/>
    </row>
    <row r="45" spans="1:14" s="5" customFormat="1" ht="13.95" customHeight="1" x14ac:dyDescent="0.3">
      <c r="A45" s="53"/>
      <c r="B45" s="56"/>
      <c r="C45" s="32"/>
      <c r="D45" s="63"/>
      <c r="E45" s="32"/>
      <c r="F45" s="32"/>
      <c r="G45" s="32"/>
      <c r="H45" s="67"/>
      <c r="I45" s="73"/>
      <c r="J45" s="75"/>
      <c r="K45" s="77"/>
      <c r="L45" s="89"/>
      <c r="M45" s="19"/>
      <c r="N45" s="19"/>
    </row>
    <row r="46" spans="1:14" s="40" customFormat="1" ht="151.80000000000001" x14ac:dyDescent="0.3">
      <c r="A46" s="51">
        <f>IFERROR(LOOKUP(2,1/(ISNUMBER($A$4:$A$45)),$A$4:$A$45),0)+1</f>
        <v>9</v>
      </c>
      <c r="B46" s="55" t="s">
        <v>40</v>
      </c>
      <c r="C46" s="41" t="s">
        <v>41</v>
      </c>
      <c r="D46" s="64"/>
      <c r="E46" s="21"/>
      <c r="F46" s="21"/>
      <c r="G46" s="21"/>
      <c r="H46" s="67"/>
      <c r="I46" s="72"/>
      <c r="J46" s="75"/>
      <c r="K46" s="77"/>
      <c r="L46" s="91"/>
      <c r="M46" s="19"/>
      <c r="N46" s="19"/>
    </row>
    <row r="47" spans="1:14" s="40" customFormat="1" ht="55.2" x14ac:dyDescent="0.3">
      <c r="A47" s="51">
        <f>IFERROR(LOOKUP(2,1/(ISNUMBER($A$4:$A$46)),$A$4:$A$46),0)+1</f>
        <v>10</v>
      </c>
      <c r="B47" s="55" t="s">
        <v>42</v>
      </c>
      <c r="C47" s="41" t="s">
        <v>43</v>
      </c>
      <c r="D47" s="59"/>
      <c r="E47" s="21"/>
      <c r="F47" s="23"/>
      <c r="G47" s="21"/>
      <c r="H47" s="67"/>
      <c r="I47" s="72"/>
      <c r="J47" s="75"/>
      <c r="K47" s="77"/>
      <c r="L47" s="91"/>
      <c r="M47" s="19"/>
      <c r="N47" s="19"/>
    </row>
    <row r="48" spans="1:14" s="4" customFormat="1" ht="15.6" x14ac:dyDescent="0.3">
      <c r="A48" s="18"/>
      <c r="B48" s="55"/>
      <c r="C48" s="20"/>
      <c r="D48" s="60">
        <f>ROUND(0.4159512,4)</f>
        <v>0.41599999999999998</v>
      </c>
      <c r="E48" s="22">
        <v>100</v>
      </c>
      <c r="F48" s="24"/>
      <c r="G48" s="22"/>
      <c r="H48" s="68">
        <f>D48*IF(OR(E48=0,E48="-"),1,E48)*IF(OR(F48=0,F48="-"),1,F48)*IF(OR(G48=0,G48="-"),1,G48)</f>
        <v>41.6</v>
      </c>
      <c r="I48" s="38" t="s">
        <v>44</v>
      </c>
      <c r="J48" s="76"/>
      <c r="K48" s="78"/>
      <c r="L48" s="86"/>
      <c r="M48" s="19"/>
      <c r="N48" s="19"/>
    </row>
    <row r="49" spans="1:14" s="4" customFormat="1" ht="15.6" x14ac:dyDescent="0.3">
      <c r="A49" s="9"/>
      <c r="B49" s="10"/>
      <c r="C49" s="35"/>
      <c r="D49" s="61"/>
      <c r="E49" s="26"/>
      <c r="F49" s="30" t="s">
        <v>45</v>
      </c>
      <c r="G49" s="30"/>
      <c r="H49" s="69">
        <f>SUM(H48:H48)</f>
        <v>41.6</v>
      </c>
      <c r="I49" s="26" t="s">
        <v>44</v>
      </c>
      <c r="J49" s="76"/>
      <c r="K49" s="79"/>
      <c r="L49" s="87"/>
      <c r="M49" s="19"/>
      <c r="N49" s="19"/>
    </row>
    <row r="50" spans="1:14" s="4" customFormat="1" ht="15.6" x14ac:dyDescent="0.3">
      <c r="A50" s="11"/>
      <c r="B50" s="12"/>
      <c r="C50" s="36"/>
      <c r="D50" s="62"/>
      <c r="E50" s="34" t="s">
        <v>46</v>
      </c>
      <c r="F50" s="34"/>
      <c r="G50" s="34"/>
      <c r="H50" s="69">
        <f>ROUND(H49*1,3)</f>
        <v>41.6</v>
      </c>
      <c r="I50" s="28" t="s">
        <v>47</v>
      </c>
      <c r="J50" s="76" t="s">
        <v>48</v>
      </c>
      <c r="K50" s="79"/>
      <c r="L50" s="88">
        <f>IF(H50*K50&lt;&gt;0,H50*K50,0)</f>
        <v>0</v>
      </c>
      <c r="M50" s="19"/>
      <c r="N50" s="19"/>
    </row>
    <row r="51" spans="1:14" s="4" customFormat="1" ht="13.95" customHeight="1" x14ac:dyDescent="0.3">
      <c r="A51" s="53"/>
      <c r="B51" s="56"/>
      <c r="C51" s="37"/>
      <c r="D51" s="63"/>
      <c r="E51" s="32"/>
      <c r="F51" s="29"/>
      <c r="G51" s="32"/>
      <c r="H51" s="67"/>
      <c r="I51" s="73"/>
      <c r="J51" s="75"/>
      <c r="K51" s="77"/>
      <c r="L51" s="89"/>
      <c r="M51" s="19"/>
      <c r="N51" s="19"/>
    </row>
    <row r="52" spans="1:14" s="40" customFormat="1" ht="110.4" x14ac:dyDescent="0.3">
      <c r="A52" s="51">
        <f>IFERROR(LOOKUP(2,1/(ISNUMBER($A$4:$A$51)),$A$4:$A$51),0)+1</f>
        <v>11</v>
      </c>
      <c r="B52" s="55" t="s">
        <v>49</v>
      </c>
      <c r="C52" s="41" t="s">
        <v>50</v>
      </c>
      <c r="D52" s="64"/>
      <c r="E52" s="21"/>
      <c r="F52" s="21"/>
      <c r="G52" s="21"/>
      <c r="H52" s="67"/>
      <c r="I52" s="72"/>
      <c r="J52" s="75"/>
      <c r="K52" s="77"/>
      <c r="L52" s="85"/>
      <c r="M52" s="19"/>
      <c r="N52" s="19"/>
    </row>
    <row r="53" spans="1:14" s="4" customFormat="1" ht="15.6" x14ac:dyDescent="0.3">
      <c r="A53" s="18"/>
      <c r="B53" s="55"/>
      <c r="C53" s="22"/>
      <c r="D53" s="60">
        <v>2</v>
      </c>
      <c r="E53" s="22">
        <v>1</v>
      </c>
      <c r="F53" s="22"/>
      <c r="G53" s="22"/>
      <c r="H53" s="68">
        <f>D53*IF(OR(E53=0,E53="-"),1,E53)*IF(OR(F53=0,F53="-"),1,F53)*IF(OR(G53=0,G53="-"),1,G53)</f>
        <v>2</v>
      </c>
      <c r="I53" s="38" t="s">
        <v>51</v>
      </c>
      <c r="J53" s="76"/>
      <c r="K53" s="78"/>
      <c r="L53" s="86"/>
      <c r="M53" s="19"/>
      <c r="N53" s="19"/>
    </row>
    <row r="54" spans="1:14" s="4" customFormat="1" ht="15.6" x14ac:dyDescent="0.3">
      <c r="A54" s="9"/>
      <c r="B54" s="10"/>
      <c r="C54" s="26"/>
      <c r="D54" s="61"/>
      <c r="E54" s="26"/>
      <c r="F54" s="33" t="s">
        <v>52</v>
      </c>
      <c r="G54" s="33"/>
      <c r="H54" s="69">
        <f>SUM(H53:H53)</f>
        <v>2</v>
      </c>
      <c r="I54" s="26" t="s">
        <v>51</v>
      </c>
      <c r="J54" s="76"/>
      <c r="K54" s="79"/>
      <c r="L54" s="87"/>
      <c r="M54" s="19"/>
      <c r="N54" s="19"/>
    </row>
    <row r="55" spans="1:14" s="4" customFormat="1" ht="31.2" x14ac:dyDescent="0.3">
      <c r="A55" s="11"/>
      <c r="B55" s="12"/>
      <c r="C55" s="28"/>
      <c r="D55" s="62"/>
      <c r="E55" s="34" t="s">
        <v>52</v>
      </c>
      <c r="F55" s="34"/>
      <c r="G55" s="34"/>
      <c r="H55" s="69">
        <f>ROUND(H54*1,3)</f>
        <v>2</v>
      </c>
      <c r="I55" s="28" t="s">
        <v>51</v>
      </c>
      <c r="J55" s="76" t="s">
        <v>63</v>
      </c>
      <c r="K55" s="80">
        <f>IF(B52="21.28",IF(J55="Labour Rate 01.04.23",128,IF(J55="Material Rate 01.04.23",171,IF(J55="Through Rate 01.04.23",298,0))),"")</f>
        <v>298</v>
      </c>
      <c r="L55" s="88">
        <f>IF(H55*K55&lt;&gt;0,H55*K55,0)</f>
        <v>596</v>
      </c>
      <c r="M55" s="19"/>
      <c r="N55" s="19"/>
    </row>
    <row r="56" spans="1:14" s="4" customFormat="1" ht="13.95" customHeight="1" x14ac:dyDescent="0.3">
      <c r="A56" s="53"/>
      <c r="B56" s="56"/>
      <c r="C56" s="32"/>
      <c r="D56" s="63"/>
      <c r="E56" s="32"/>
      <c r="F56" s="32"/>
      <c r="G56" s="32"/>
      <c r="H56" s="67"/>
      <c r="I56" s="73"/>
      <c r="J56" s="75"/>
      <c r="K56" s="77"/>
      <c r="L56" s="89"/>
      <c r="M56" s="19"/>
      <c r="N56" s="19"/>
    </row>
    <row r="57" spans="1:14" s="40" customFormat="1" ht="81" x14ac:dyDescent="0.3">
      <c r="A57" s="51">
        <f>IFERROR(LOOKUP(2,1/(ISNUMBER($A$4:$A$56)),$A$4:$A$56),0)+1</f>
        <v>12</v>
      </c>
      <c r="B57" s="55" t="s">
        <v>53</v>
      </c>
      <c r="C57" s="39" t="s">
        <v>54</v>
      </c>
      <c r="D57" s="59"/>
      <c r="E57" s="21"/>
      <c r="F57" s="21"/>
      <c r="G57" s="21"/>
      <c r="H57" s="67"/>
      <c r="I57" s="72"/>
      <c r="J57" s="75"/>
      <c r="K57" s="77"/>
      <c r="L57" s="91"/>
      <c r="M57" s="19"/>
      <c r="N57" s="19"/>
    </row>
    <row r="58" spans="1:14" s="4" customFormat="1" ht="15.6" x14ac:dyDescent="0.3">
      <c r="A58" s="18"/>
      <c r="B58" s="55"/>
      <c r="C58" s="22"/>
      <c r="D58" s="60">
        <v>1</v>
      </c>
      <c r="E58" s="22">
        <v>1</v>
      </c>
      <c r="F58" s="22"/>
      <c r="G58" s="22"/>
      <c r="H58" s="68">
        <f>D58*IF(OR(E58=0,E58="-"),1,E58)*IF(OR(F58=0,F58="-"),1,F58)*IF(OR(G58=0,G58="-"),1,G58)</f>
        <v>1</v>
      </c>
      <c r="I58" s="38" t="s">
        <v>51</v>
      </c>
      <c r="J58" s="76"/>
      <c r="K58" s="78"/>
      <c r="L58" s="86"/>
      <c r="M58" s="19"/>
      <c r="N58" s="19"/>
    </row>
    <row r="59" spans="1:14" s="6" customFormat="1" ht="15.6" x14ac:dyDescent="0.3">
      <c r="A59" s="13"/>
      <c r="B59" s="10"/>
      <c r="C59" s="25"/>
      <c r="D59" s="65"/>
      <c r="E59" s="25"/>
      <c r="F59" s="30" t="s">
        <v>52</v>
      </c>
      <c r="G59" s="30"/>
      <c r="H59" s="71">
        <f>SUM(H58:H58)</f>
        <v>1</v>
      </c>
      <c r="I59" s="25" t="s">
        <v>51</v>
      </c>
      <c r="J59" s="76"/>
      <c r="K59" s="82"/>
      <c r="L59" s="92"/>
      <c r="M59" s="19"/>
      <c r="N59" s="19"/>
    </row>
    <row r="60" spans="1:14" s="4" customFormat="1" ht="31.2" x14ac:dyDescent="0.3">
      <c r="A60" s="14" t="s">
        <v>55</v>
      </c>
      <c r="B60" s="12"/>
      <c r="C60" s="27"/>
      <c r="D60" s="66"/>
      <c r="E60" s="31" t="s">
        <v>52</v>
      </c>
      <c r="F60" s="31"/>
      <c r="G60" s="31"/>
      <c r="H60" s="71">
        <f>ROUND(H59*1,3)</f>
        <v>1</v>
      </c>
      <c r="I60" s="27" t="s">
        <v>51</v>
      </c>
      <c r="J60" s="76" t="s">
        <v>63</v>
      </c>
      <c r="K60" s="83">
        <f>IF(B57="21.93.1",IF(J60="Labour Rate 01.04.23",131,IF(J60="Material Rate 01.04.23",1023,IF(J60="Through Rate 01.04.23",1155,0))),"")</f>
        <v>1155</v>
      </c>
      <c r="L60" s="93">
        <f>IF(H60*K60&lt;&gt;0,H60*K60,0)</f>
        <v>1155</v>
      </c>
      <c r="M60" s="19"/>
      <c r="N60" s="19"/>
    </row>
    <row r="61" spans="1:14" ht="13.95" customHeight="1" thickBot="1" x14ac:dyDescent="0.35">
      <c r="A61" s="15"/>
      <c r="B61" s="16"/>
      <c r="C61" s="49"/>
      <c r="D61" s="49"/>
      <c r="E61" s="49"/>
      <c r="F61" s="49"/>
      <c r="G61" s="49"/>
      <c r="H61" s="49"/>
      <c r="I61" s="49"/>
      <c r="J61" s="49"/>
      <c r="K61" s="49"/>
      <c r="L61" s="50"/>
      <c r="M61" s="19"/>
      <c r="N61" s="19"/>
    </row>
    <row r="62" spans="1:14" ht="16.2" thickTop="1" x14ac:dyDescent="0.3">
      <c r="A62" s="17"/>
      <c r="B62" s="57"/>
      <c r="C62" s="19"/>
      <c r="D62" s="19"/>
      <c r="E62" s="94"/>
      <c r="F62" s="94"/>
      <c r="G62" s="94"/>
      <c r="H62" s="94"/>
      <c r="I62" s="99" t="s">
        <v>56</v>
      </c>
      <c r="J62" s="100"/>
      <c r="K62" s="100"/>
      <c r="L62" s="101">
        <f>SUM(L5:L61)</f>
        <v>18503.611999999997</v>
      </c>
      <c r="M62" s="94"/>
      <c r="N62" s="19"/>
    </row>
    <row r="63" spans="1:14" ht="15.6" x14ac:dyDescent="0.3">
      <c r="A63" s="17"/>
      <c r="B63" s="57"/>
      <c r="C63" s="19"/>
      <c r="D63" s="19"/>
      <c r="E63" s="94"/>
      <c r="F63" s="94"/>
      <c r="G63" s="94"/>
      <c r="H63" s="94"/>
      <c r="I63" s="102" t="s">
        <v>57</v>
      </c>
      <c r="J63" s="103"/>
      <c r="K63" s="104">
        <v>0</v>
      </c>
      <c r="L63" s="105">
        <f>$L$62 * ($K$63)</f>
        <v>0</v>
      </c>
      <c r="M63" s="94"/>
      <c r="N63" s="19"/>
    </row>
    <row r="64" spans="1:14" ht="15.6" x14ac:dyDescent="0.3">
      <c r="A64" s="17"/>
      <c r="B64" s="57"/>
      <c r="C64" s="19"/>
      <c r="D64" s="19"/>
      <c r="E64" s="94"/>
      <c r="F64" s="94"/>
      <c r="G64" s="94"/>
      <c r="H64" s="94"/>
      <c r="I64" s="102" t="s">
        <v>58</v>
      </c>
      <c r="J64" s="103"/>
      <c r="K64" s="103"/>
      <c r="L64" s="105">
        <f>$L$62 + $L$63</f>
        <v>18503.611999999997</v>
      </c>
      <c r="M64" s="94"/>
      <c r="N64" s="19"/>
    </row>
    <row r="65" spans="1:14" ht="15.6" x14ac:dyDescent="0.3">
      <c r="A65" s="17"/>
      <c r="B65" s="57"/>
      <c r="C65" s="19"/>
      <c r="D65" s="19"/>
      <c r="E65" s="94"/>
      <c r="F65" s="94"/>
      <c r="G65" s="94"/>
      <c r="H65" s="94"/>
      <c r="I65" s="102" t="s">
        <v>59</v>
      </c>
      <c r="J65" s="103"/>
      <c r="K65" s="103"/>
      <c r="L65" s="105">
        <f>$L$64*0.18</f>
        <v>3330.6501599999992</v>
      </c>
      <c r="M65" s="94"/>
      <c r="N65" s="19"/>
    </row>
    <row r="66" spans="1:14" ht="15.6" x14ac:dyDescent="0.3">
      <c r="A66" s="17"/>
      <c r="B66" s="57"/>
      <c r="C66" s="19"/>
      <c r="D66" s="19"/>
      <c r="E66" s="94"/>
      <c r="F66" s="94"/>
      <c r="G66" s="94"/>
      <c r="H66" s="94"/>
      <c r="I66" s="102" t="s">
        <v>60</v>
      </c>
      <c r="J66" s="103"/>
      <c r="K66" s="104">
        <v>0</v>
      </c>
      <c r="L66" s="106">
        <f>$L$64 * ($K$66)</f>
        <v>0</v>
      </c>
      <c r="M66" s="94"/>
      <c r="N66" s="19"/>
    </row>
    <row r="67" spans="1:14" ht="16.2" thickBot="1" x14ac:dyDescent="0.35">
      <c r="A67" s="17"/>
      <c r="B67" s="57"/>
      <c r="C67" s="19"/>
      <c r="D67" s="19"/>
      <c r="E67" s="94"/>
      <c r="F67" s="94"/>
      <c r="G67" s="94"/>
      <c r="H67" s="94"/>
      <c r="I67" s="107" t="s">
        <v>61</v>
      </c>
      <c r="J67" s="108"/>
      <c r="K67" s="108"/>
      <c r="L67" s="109">
        <f>$L$64+$L$65+$L$66</f>
        <v>21834.262159999998</v>
      </c>
      <c r="M67" s="94"/>
      <c r="N67" s="19"/>
    </row>
    <row r="68" spans="1:14" ht="16.2" thickTop="1" x14ac:dyDescent="0.3">
      <c r="A68" s="17"/>
      <c r="B68" s="57"/>
      <c r="C68" s="19"/>
      <c r="D68" s="19"/>
      <c r="E68" s="94"/>
      <c r="F68" s="94"/>
      <c r="G68" s="94"/>
      <c r="H68" s="94"/>
      <c r="I68" s="95"/>
      <c r="J68" s="95"/>
      <c r="K68" s="95"/>
      <c r="L68" s="95"/>
      <c r="M68" s="94"/>
      <c r="N68" s="19"/>
    </row>
    <row r="69" spans="1:14" ht="18" x14ac:dyDescent="0.3">
      <c r="A69" s="17"/>
      <c r="B69" s="57"/>
      <c r="C69" s="19"/>
      <c r="D69" s="19"/>
      <c r="E69" s="94"/>
      <c r="F69" s="94"/>
      <c r="G69" s="94"/>
      <c r="H69" s="97" t="s">
        <v>62</v>
      </c>
      <c r="I69" s="98" t="str">
        <f>IF(L67&gt;=100000,ROUND(L67/100000,2)&amp;" Lakh",IF(L67&gt;=1000,ROUND(L67/1000,2)&amp;" Thousand",ROUND(L67,0))) &amp; " Only"</f>
        <v>21.83 Thousand Only</v>
      </c>
      <c r="J69" s="96"/>
      <c r="K69" s="96"/>
      <c r="L69" s="96"/>
      <c r="M69" s="94"/>
      <c r="N69" s="19"/>
    </row>
    <row r="70" spans="1:14" ht="15.6" x14ac:dyDescent="0.3">
      <c r="A70" s="17"/>
      <c r="B70" s="57"/>
      <c r="C70" s="19"/>
      <c r="D70" s="19"/>
      <c r="E70" s="94"/>
      <c r="F70" s="94"/>
      <c r="G70" s="94"/>
      <c r="H70" s="94"/>
      <c r="I70" s="94"/>
      <c r="J70" s="94"/>
      <c r="K70" s="94"/>
      <c r="L70" s="94"/>
      <c r="M70" s="94"/>
      <c r="N70" s="19"/>
    </row>
    <row r="71" spans="1:14" ht="15.6" x14ac:dyDescent="0.3">
      <c r="A71" s="17"/>
      <c r="B71" s="57"/>
      <c r="C71" s="19"/>
      <c r="D71" s="19"/>
      <c r="E71" s="19"/>
      <c r="F71" s="19"/>
      <c r="G71" s="19"/>
      <c r="H71" s="19"/>
      <c r="I71" s="19"/>
      <c r="J71" s="19"/>
      <c r="K71" s="19"/>
      <c r="L71" s="19"/>
      <c r="M71" s="19"/>
      <c r="N71" s="19"/>
    </row>
    <row r="72" spans="1:14" ht="15.6" x14ac:dyDescent="0.3">
      <c r="A72" s="17"/>
      <c r="B72" s="57"/>
      <c r="C72" s="19"/>
      <c r="D72" s="19"/>
      <c r="E72" s="19"/>
      <c r="F72" s="19"/>
      <c r="G72" s="19"/>
      <c r="H72" s="19"/>
      <c r="I72" s="19"/>
      <c r="J72" s="19"/>
      <c r="K72" s="19"/>
      <c r="L72" s="19"/>
      <c r="M72" s="19"/>
      <c r="N72" s="19"/>
    </row>
    <row r="73" spans="1:14" ht="15.6" hidden="1" x14ac:dyDescent="0.3">
      <c r="A73" s="17"/>
      <c r="B73" s="57"/>
      <c r="C73" s="19"/>
      <c r="D73" s="19"/>
      <c r="E73" s="19"/>
      <c r="F73" s="19"/>
      <c r="G73" s="19"/>
      <c r="H73" s="19"/>
      <c r="I73" s="19"/>
      <c r="J73" s="19"/>
      <c r="K73" s="19"/>
      <c r="L73" s="19"/>
      <c r="M73" s="19"/>
      <c r="N73" s="19"/>
    </row>
    <row r="74" spans="1:14" ht="15.6" hidden="1" x14ac:dyDescent="0.3">
      <c r="A74" s="17"/>
      <c r="B74" s="57"/>
      <c r="C74" s="19"/>
      <c r="D74" s="19"/>
      <c r="E74" s="19"/>
      <c r="F74" s="19"/>
      <c r="G74" s="19"/>
      <c r="H74" s="19"/>
      <c r="I74" s="19"/>
      <c r="J74" s="19"/>
      <c r="K74" s="19"/>
      <c r="L74" s="19"/>
      <c r="M74" s="19"/>
      <c r="N74" s="19"/>
    </row>
    <row r="75" spans="1:14" ht="15.6" hidden="1" x14ac:dyDescent="0.3">
      <c r="A75" s="17"/>
      <c r="B75" s="57"/>
      <c r="C75" s="19"/>
      <c r="D75" s="19"/>
      <c r="E75" s="19"/>
      <c r="F75" s="19"/>
      <c r="G75" s="19"/>
      <c r="H75" s="19"/>
      <c r="I75" s="19"/>
      <c r="J75" s="19"/>
      <c r="K75" s="19"/>
      <c r="L75" s="19"/>
      <c r="M75" s="19"/>
      <c r="N75" s="19"/>
    </row>
    <row r="76" spans="1:14" ht="15.6" hidden="1" x14ac:dyDescent="0.3">
      <c r="A76" s="17"/>
      <c r="B76" s="57"/>
      <c r="C76" s="19"/>
      <c r="D76" s="19"/>
      <c r="E76" s="19"/>
      <c r="F76" s="19"/>
      <c r="G76" s="19"/>
      <c r="H76" s="19"/>
      <c r="I76" s="19"/>
      <c r="J76" s="19"/>
      <c r="K76" s="19"/>
      <c r="L76" s="19"/>
      <c r="M76" s="19"/>
      <c r="N76" s="19"/>
    </row>
    <row r="77" spans="1:14" ht="15.6" hidden="1" x14ac:dyDescent="0.3">
      <c r="A77" s="17"/>
      <c r="B77" s="57"/>
      <c r="C77" s="19"/>
      <c r="D77" s="19"/>
      <c r="E77" s="19"/>
      <c r="F77" s="19"/>
      <c r="G77" s="19"/>
      <c r="H77" s="19"/>
      <c r="I77" s="19"/>
      <c r="J77" s="19"/>
      <c r="K77" s="19"/>
      <c r="L77" s="19"/>
      <c r="M77" s="19"/>
      <c r="N77" s="19"/>
    </row>
    <row r="78" spans="1:14" ht="15.6" hidden="1" x14ac:dyDescent="0.3">
      <c r="A78" s="17"/>
      <c r="B78" s="57"/>
      <c r="C78" s="19"/>
      <c r="D78" s="19"/>
      <c r="E78" s="19"/>
      <c r="F78" s="19"/>
      <c r="G78" s="19"/>
      <c r="H78" s="19"/>
      <c r="I78" s="19"/>
      <c r="J78" s="19"/>
      <c r="K78" s="19"/>
      <c r="L78" s="19"/>
      <c r="M78" s="19"/>
      <c r="N78" s="19"/>
    </row>
    <row r="79" spans="1:14" ht="27" hidden="1" customHeight="1" x14ac:dyDescent="0.3">
      <c r="B79" s="8"/>
    </row>
    <row r="80" spans="1:14" ht="27" hidden="1" customHeight="1" x14ac:dyDescent="0.3">
      <c r="B80" s="8"/>
    </row>
    <row r="81" spans="2:2" ht="27" hidden="1" customHeight="1" x14ac:dyDescent="0.3">
      <c r="B81" s="8"/>
    </row>
    <row r="82" spans="2:2" ht="27" hidden="1" customHeight="1" x14ac:dyDescent="0.3">
      <c r="B82" s="8"/>
    </row>
    <row r="83" spans="2:2" ht="27" hidden="1" customHeight="1" x14ac:dyDescent="0.3">
      <c r="B83" s="8"/>
    </row>
    <row r="84" spans="2:2" ht="27" hidden="1" customHeight="1" x14ac:dyDescent="0.3">
      <c r="B84" s="8"/>
    </row>
    <row r="85" spans="2:2" ht="27" hidden="1" customHeight="1" x14ac:dyDescent="0.3">
      <c r="B85" s="8"/>
    </row>
    <row r="86" spans="2:2" ht="27" hidden="1" customHeight="1" x14ac:dyDescent="0.3">
      <c r="B86" s="8"/>
    </row>
    <row r="87" spans="2:2" ht="27" hidden="1" customHeight="1" x14ac:dyDescent="0.3">
      <c r="B87" s="8"/>
    </row>
    <row r="88" spans="2:2" ht="27" hidden="1" customHeight="1" x14ac:dyDescent="0.3">
      <c r="B88" s="8"/>
    </row>
    <row r="89" spans="2:2" ht="27" hidden="1" customHeight="1" x14ac:dyDescent="0.3">
      <c r="B89" s="8"/>
    </row>
    <row r="90" spans="2:2" ht="27" hidden="1" customHeight="1" x14ac:dyDescent="0.3">
      <c r="B90" s="8"/>
    </row>
    <row r="91" spans="2:2" ht="27" hidden="1" customHeight="1" x14ac:dyDescent="0.3">
      <c r="B91" s="8"/>
    </row>
    <row r="92" spans="2:2" ht="27" hidden="1" customHeight="1" x14ac:dyDescent="0.3">
      <c r="B92" s="8"/>
    </row>
    <row r="93" spans="2:2" ht="27" hidden="1" customHeight="1" x14ac:dyDescent="0.3">
      <c r="B93" s="8"/>
    </row>
    <row r="94" spans="2:2" ht="27" hidden="1" customHeight="1" x14ac:dyDescent="0.3">
      <c r="B94" s="8"/>
    </row>
    <row r="95" spans="2:2" ht="27" hidden="1" customHeight="1" x14ac:dyDescent="0.3">
      <c r="B95" s="8"/>
    </row>
    <row r="96" spans="2:2" ht="27" hidden="1" customHeight="1" x14ac:dyDescent="0.3">
      <c r="B96" s="8"/>
    </row>
    <row r="97" spans="2:2" ht="27" hidden="1" customHeight="1" x14ac:dyDescent="0.3">
      <c r="B97" s="8"/>
    </row>
    <row r="98" spans="2:2" ht="27" hidden="1" customHeight="1" x14ac:dyDescent="0.3">
      <c r="B98" s="8"/>
    </row>
    <row r="99" spans="2:2" ht="27" hidden="1" customHeight="1" x14ac:dyDescent="0.3">
      <c r="B99" s="8"/>
    </row>
    <row r="100" spans="2:2" ht="27" hidden="1" customHeight="1" x14ac:dyDescent="0.3">
      <c r="B100" s="8"/>
    </row>
    <row r="101" spans="2:2" ht="27" hidden="1" customHeight="1" x14ac:dyDescent="0.3">
      <c r="B101" s="8"/>
    </row>
    <row r="102" spans="2:2" ht="27" hidden="1" customHeight="1" x14ac:dyDescent="0.3">
      <c r="B102" s="8"/>
    </row>
    <row r="103" spans="2:2" ht="27" hidden="1" customHeight="1" x14ac:dyDescent="0.3">
      <c r="B103" s="8"/>
    </row>
    <row r="104" spans="2:2" ht="27" hidden="1" customHeight="1" x14ac:dyDescent="0.3">
      <c r="B104" s="8"/>
    </row>
    <row r="105" spans="2:2" ht="27" hidden="1" customHeight="1" x14ac:dyDescent="0.3">
      <c r="B105" s="8"/>
    </row>
    <row r="106" spans="2:2" ht="27" hidden="1" customHeight="1" x14ac:dyDescent="0.3">
      <c r="B106" s="8"/>
    </row>
    <row r="107" spans="2:2" ht="27" hidden="1" customHeight="1" x14ac:dyDescent="0.3">
      <c r="B107" s="8"/>
    </row>
    <row r="108" spans="2:2" ht="27" hidden="1" customHeight="1" x14ac:dyDescent="0.3">
      <c r="B108" s="8"/>
    </row>
    <row r="109" spans="2:2" ht="27" hidden="1" customHeight="1" x14ac:dyDescent="0.3">
      <c r="B109" s="8"/>
    </row>
    <row r="110" spans="2:2" ht="27" hidden="1" customHeight="1" x14ac:dyDescent="0.3">
      <c r="B110" s="8"/>
    </row>
    <row r="111" spans="2:2" ht="27" hidden="1" customHeight="1" x14ac:dyDescent="0.3">
      <c r="B111" s="8"/>
    </row>
    <row r="112" spans="2:2" ht="27" hidden="1" customHeight="1" x14ac:dyDescent="0.3">
      <c r="B112" s="8"/>
    </row>
    <row r="113" spans="2:2" ht="27" hidden="1" customHeight="1" x14ac:dyDescent="0.3">
      <c r="B113" s="8"/>
    </row>
    <row r="114" spans="2:2" ht="27" hidden="1" customHeight="1" x14ac:dyDescent="0.3">
      <c r="B114" s="8"/>
    </row>
    <row r="115" spans="2:2" ht="27" hidden="1" customHeight="1" x14ac:dyDescent="0.3">
      <c r="B115" s="8"/>
    </row>
    <row r="116" spans="2:2" ht="27" hidden="1" customHeight="1" x14ac:dyDescent="0.3">
      <c r="B116" s="8"/>
    </row>
    <row r="117" spans="2:2" ht="27" hidden="1" customHeight="1" x14ac:dyDescent="0.3">
      <c r="B117" s="8"/>
    </row>
    <row r="118" spans="2:2" ht="27" hidden="1" customHeight="1" x14ac:dyDescent="0.3">
      <c r="B118" s="8"/>
    </row>
    <row r="119" spans="2:2" ht="27" hidden="1" customHeight="1" x14ac:dyDescent="0.3">
      <c r="B119" s="8"/>
    </row>
    <row r="120" spans="2:2" ht="27" hidden="1" customHeight="1" x14ac:dyDescent="0.3">
      <c r="B120" s="8"/>
    </row>
    <row r="121" spans="2:2" ht="27" hidden="1" customHeight="1" x14ac:dyDescent="0.3">
      <c r="B121" s="8"/>
    </row>
    <row r="122" spans="2:2" ht="27" hidden="1" customHeight="1" x14ac:dyDescent="0.3">
      <c r="B122" s="8"/>
    </row>
    <row r="123" spans="2:2" ht="27" hidden="1" customHeight="1" x14ac:dyDescent="0.3">
      <c r="B123" s="8"/>
    </row>
    <row r="124" spans="2:2" ht="27" hidden="1" customHeight="1" x14ac:dyDescent="0.3">
      <c r="B124" s="8"/>
    </row>
    <row r="125" spans="2:2" ht="27" hidden="1" customHeight="1" x14ac:dyDescent="0.3">
      <c r="B125" s="8"/>
    </row>
    <row r="126" spans="2:2" ht="27" hidden="1" customHeight="1" x14ac:dyDescent="0.3">
      <c r="B126" s="8"/>
    </row>
    <row r="127" spans="2:2" ht="27" hidden="1" customHeight="1" x14ac:dyDescent="0.3">
      <c r="B127" s="8"/>
    </row>
    <row r="128" spans="2:2" ht="27" hidden="1" customHeight="1" x14ac:dyDescent="0.3">
      <c r="B128" s="8"/>
    </row>
    <row r="129" spans="2:2" ht="27" hidden="1" customHeight="1" x14ac:dyDescent="0.3">
      <c r="B129" s="8"/>
    </row>
    <row r="130" spans="2:2" ht="27" hidden="1" customHeight="1" x14ac:dyDescent="0.3">
      <c r="B130" s="8"/>
    </row>
    <row r="131" spans="2:2" ht="27" hidden="1" customHeight="1" x14ac:dyDescent="0.3">
      <c r="B131" s="8"/>
    </row>
    <row r="132" spans="2:2" ht="27" hidden="1" customHeight="1" x14ac:dyDescent="0.3">
      <c r="B132" s="8"/>
    </row>
    <row r="133" spans="2:2" ht="27" hidden="1" customHeight="1" x14ac:dyDescent="0.3">
      <c r="B133" s="8"/>
    </row>
    <row r="134" spans="2:2" ht="27" hidden="1" customHeight="1" x14ac:dyDescent="0.3">
      <c r="B134" s="8"/>
    </row>
    <row r="135" spans="2:2" ht="27" hidden="1" customHeight="1" x14ac:dyDescent="0.3">
      <c r="B135" s="8"/>
    </row>
    <row r="136" spans="2:2" ht="27" hidden="1" customHeight="1" x14ac:dyDescent="0.3">
      <c r="B136" s="8"/>
    </row>
    <row r="137" spans="2:2" ht="27" hidden="1" customHeight="1" x14ac:dyDescent="0.3">
      <c r="B137" s="8"/>
    </row>
    <row r="138" spans="2:2" ht="27" hidden="1" customHeight="1" x14ac:dyDescent="0.3">
      <c r="B138" s="8"/>
    </row>
    <row r="139" spans="2:2" ht="27" hidden="1" customHeight="1" x14ac:dyDescent="0.3">
      <c r="B139" s="8"/>
    </row>
    <row r="140" spans="2:2" ht="27" hidden="1" customHeight="1" x14ac:dyDescent="0.3">
      <c r="B140" s="8"/>
    </row>
    <row r="141" spans="2:2" ht="27" hidden="1" customHeight="1" x14ac:dyDescent="0.3">
      <c r="B141" s="8"/>
    </row>
    <row r="142" spans="2:2" ht="27" hidden="1" customHeight="1" x14ac:dyDescent="0.3">
      <c r="B142" s="8"/>
    </row>
    <row r="143" spans="2:2" ht="27" hidden="1" customHeight="1" x14ac:dyDescent="0.3">
      <c r="B143" s="8"/>
    </row>
    <row r="144" spans="2:2" ht="27" hidden="1" customHeight="1" x14ac:dyDescent="0.3">
      <c r="B144" s="8"/>
    </row>
    <row r="145" spans="2:2" ht="27" hidden="1" customHeight="1" x14ac:dyDescent="0.3">
      <c r="B145" s="8"/>
    </row>
    <row r="146" spans="2:2" ht="27" hidden="1" customHeight="1" x14ac:dyDescent="0.3">
      <c r="B146" s="8"/>
    </row>
    <row r="147" spans="2:2" ht="27" hidden="1" customHeight="1" x14ac:dyDescent="0.3">
      <c r="B147" s="8"/>
    </row>
    <row r="148" spans="2:2" ht="27" hidden="1" customHeight="1" x14ac:dyDescent="0.3">
      <c r="B148" s="8"/>
    </row>
    <row r="149" spans="2:2" ht="27" hidden="1" customHeight="1" x14ac:dyDescent="0.3">
      <c r="B149" s="8"/>
    </row>
    <row r="150" spans="2:2" ht="27" hidden="1" customHeight="1" x14ac:dyDescent="0.3">
      <c r="B150" s="8"/>
    </row>
    <row r="151" spans="2:2" ht="27" hidden="1" customHeight="1" x14ac:dyDescent="0.3">
      <c r="B151" s="8"/>
    </row>
    <row r="152" spans="2:2" ht="27" hidden="1" customHeight="1" x14ac:dyDescent="0.3">
      <c r="B152" s="8"/>
    </row>
    <row r="153" spans="2:2" ht="27" hidden="1" customHeight="1" x14ac:dyDescent="0.3">
      <c r="B153" s="8"/>
    </row>
    <row r="154" spans="2:2" ht="27" hidden="1" customHeight="1" x14ac:dyDescent="0.3">
      <c r="B154" s="8"/>
    </row>
    <row r="155" spans="2:2" ht="27" hidden="1" customHeight="1" x14ac:dyDescent="0.3">
      <c r="B155" s="8"/>
    </row>
    <row r="156" spans="2:2" ht="27" hidden="1" customHeight="1" x14ac:dyDescent="0.3">
      <c r="B156" s="8"/>
    </row>
    <row r="157" spans="2:2" ht="27" hidden="1" customHeight="1" x14ac:dyDescent="0.3">
      <c r="B157" s="8"/>
    </row>
    <row r="158" spans="2:2" ht="27" hidden="1" customHeight="1" x14ac:dyDescent="0.3">
      <c r="B158" s="8"/>
    </row>
    <row r="159" spans="2:2" ht="27" hidden="1" customHeight="1" x14ac:dyDescent="0.3">
      <c r="B159" s="8"/>
    </row>
    <row r="160" spans="2:2" ht="27" hidden="1" customHeight="1" x14ac:dyDescent="0.3">
      <c r="B160" s="8"/>
    </row>
    <row r="161" spans="2:2" ht="27" hidden="1" customHeight="1" x14ac:dyDescent="0.3">
      <c r="B161" s="8"/>
    </row>
    <row r="162" spans="2:2" ht="27" hidden="1" customHeight="1" x14ac:dyDescent="0.3">
      <c r="B162" s="8"/>
    </row>
    <row r="163" spans="2:2" ht="27" hidden="1" customHeight="1" x14ac:dyDescent="0.3">
      <c r="B163" s="8"/>
    </row>
    <row r="164" spans="2:2" ht="27" hidden="1" customHeight="1" x14ac:dyDescent="0.3">
      <c r="B164" s="8"/>
    </row>
    <row r="165" spans="2:2" ht="27" hidden="1" customHeight="1" x14ac:dyDescent="0.3">
      <c r="B165" s="8"/>
    </row>
    <row r="166" spans="2:2" ht="27" hidden="1" customHeight="1" x14ac:dyDescent="0.3">
      <c r="B166" s="8"/>
    </row>
    <row r="167" spans="2:2" ht="27" hidden="1" customHeight="1" x14ac:dyDescent="0.3">
      <c r="B167" s="8"/>
    </row>
    <row r="168" spans="2:2" ht="27" hidden="1" customHeight="1" x14ac:dyDescent="0.3">
      <c r="B168" s="8"/>
    </row>
    <row r="169" spans="2:2" ht="27" hidden="1" customHeight="1" x14ac:dyDescent="0.3">
      <c r="B169" s="8"/>
    </row>
    <row r="170" spans="2:2" ht="27" hidden="1" customHeight="1" x14ac:dyDescent="0.3">
      <c r="B170" s="8"/>
    </row>
    <row r="171" spans="2:2" ht="27" hidden="1" customHeight="1" x14ac:dyDescent="0.3">
      <c r="B171" s="8"/>
    </row>
    <row r="172" spans="2:2" ht="27" hidden="1" customHeight="1" x14ac:dyDescent="0.3">
      <c r="B172" s="8"/>
    </row>
    <row r="173" spans="2:2" ht="27" hidden="1" customHeight="1" x14ac:dyDescent="0.3">
      <c r="B173" s="8"/>
    </row>
    <row r="174" spans="2:2" ht="27" hidden="1" customHeight="1" x14ac:dyDescent="0.3">
      <c r="B174" s="8"/>
    </row>
    <row r="175" spans="2:2" ht="27" hidden="1" customHeight="1" x14ac:dyDescent="0.3">
      <c r="B175" s="8"/>
    </row>
    <row r="176" spans="2:2" ht="27" hidden="1" customHeight="1" x14ac:dyDescent="0.3">
      <c r="B176" s="8"/>
    </row>
    <row r="177" spans="2:2" ht="27" hidden="1" customHeight="1" x14ac:dyDescent="0.3">
      <c r="B177" s="8"/>
    </row>
    <row r="178" spans="2:2" ht="27" hidden="1" customHeight="1" x14ac:dyDescent="0.3">
      <c r="B178" s="8"/>
    </row>
    <row r="179" spans="2:2" ht="27" hidden="1" customHeight="1" x14ac:dyDescent="0.3">
      <c r="B179" s="8"/>
    </row>
    <row r="180" spans="2:2" ht="27" hidden="1" customHeight="1" x14ac:dyDescent="0.3">
      <c r="B180" s="8"/>
    </row>
    <row r="181" spans="2:2" ht="27" hidden="1" customHeight="1" x14ac:dyDescent="0.3">
      <c r="B181" s="8"/>
    </row>
    <row r="182" spans="2:2" ht="27" hidden="1" customHeight="1" x14ac:dyDescent="0.3">
      <c r="B182" s="8"/>
    </row>
    <row r="183" spans="2:2" ht="27" hidden="1" customHeight="1" x14ac:dyDescent="0.3">
      <c r="B183" s="8"/>
    </row>
    <row r="184" spans="2:2" ht="27" hidden="1" customHeight="1" x14ac:dyDescent="0.3">
      <c r="B184" s="8"/>
    </row>
    <row r="185" spans="2:2" ht="27" hidden="1" customHeight="1" x14ac:dyDescent="0.3">
      <c r="B185" s="8"/>
    </row>
    <row r="186" spans="2:2" ht="27" hidden="1" customHeight="1" x14ac:dyDescent="0.3">
      <c r="B186" s="8"/>
    </row>
    <row r="187" spans="2:2" ht="27" hidden="1" customHeight="1" x14ac:dyDescent="0.3">
      <c r="B187" s="8"/>
    </row>
    <row r="188" spans="2:2" ht="27" hidden="1" customHeight="1" x14ac:dyDescent="0.3">
      <c r="B188" s="8"/>
    </row>
    <row r="189" spans="2:2" ht="27" hidden="1" customHeight="1" x14ac:dyDescent="0.3">
      <c r="B189" s="8"/>
    </row>
    <row r="190" spans="2:2" ht="27" hidden="1" customHeight="1" x14ac:dyDescent="0.3">
      <c r="B190" s="8"/>
    </row>
    <row r="191" spans="2:2" ht="27" hidden="1" customHeight="1" x14ac:dyDescent="0.3">
      <c r="B191" s="8"/>
    </row>
    <row r="192" spans="2:2" ht="27" hidden="1" customHeight="1" x14ac:dyDescent="0.3">
      <c r="B192" s="8"/>
    </row>
    <row r="193" spans="2:2" ht="27" hidden="1" customHeight="1" x14ac:dyDescent="0.3">
      <c r="B193" s="8"/>
    </row>
    <row r="194" spans="2:2" ht="27" hidden="1" customHeight="1" x14ac:dyDescent="0.3">
      <c r="B194" s="8"/>
    </row>
    <row r="195" spans="2:2" ht="27" hidden="1" customHeight="1" x14ac:dyDescent="0.3">
      <c r="B195" s="8"/>
    </row>
    <row r="196" spans="2:2" ht="27" hidden="1" customHeight="1" x14ac:dyDescent="0.3">
      <c r="B196" s="8"/>
    </row>
    <row r="197" spans="2:2" ht="27" hidden="1" customHeight="1" x14ac:dyDescent="0.3">
      <c r="B197" s="8"/>
    </row>
    <row r="198" spans="2:2" ht="27" hidden="1" customHeight="1" x14ac:dyDescent="0.3">
      <c r="B198" s="8"/>
    </row>
    <row r="199" spans="2:2" ht="27" hidden="1" customHeight="1" x14ac:dyDescent="0.3">
      <c r="B199" s="8"/>
    </row>
    <row r="200" spans="2:2" ht="27" hidden="1" customHeight="1" x14ac:dyDescent="0.3">
      <c r="B200" s="8"/>
    </row>
    <row r="201" spans="2:2" ht="27" hidden="1" customHeight="1" x14ac:dyDescent="0.3">
      <c r="B201" s="8"/>
    </row>
    <row r="202" spans="2:2" ht="27" hidden="1" customHeight="1" x14ac:dyDescent="0.3">
      <c r="B202" s="8"/>
    </row>
    <row r="203" spans="2:2" ht="27" hidden="1" customHeight="1" x14ac:dyDescent="0.3">
      <c r="B203" s="8"/>
    </row>
    <row r="204" spans="2:2" ht="27" hidden="1" customHeight="1" x14ac:dyDescent="0.3">
      <c r="B204" s="8"/>
    </row>
    <row r="205" spans="2:2" ht="27" hidden="1" customHeight="1" x14ac:dyDescent="0.3">
      <c r="B205" s="8"/>
    </row>
    <row r="206" spans="2:2" ht="27" hidden="1" customHeight="1" x14ac:dyDescent="0.3">
      <c r="B206" s="8"/>
    </row>
    <row r="207" spans="2:2" ht="27" hidden="1" customHeight="1" x14ac:dyDescent="0.3">
      <c r="B207" s="8"/>
    </row>
    <row r="208" spans="2:2" ht="27" hidden="1" customHeight="1" x14ac:dyDescent="0.3">
      <c r="B208" s="8"/>
    </row>
    <row r="209" spans="2:2" ht="27" hidden="1" customHeight="1" x14ac:dyDescent="0.3">
      <c r="B209" s="8"/>
    </row>
    <row r="210" spans="2:2" ht="27" hidden="1" customHeight="1" x14ac:dyDescent="0.3">
      <c r="B210" s="8"/>
    </row>
    <row r="211" spans="2:2" ht="27" hidden="1" customHeight="1" x14ac:dyDescent="0.3">
      <c r="B211" s="8"/>
    </row>
    <row r="212" spans="2:2" ht="27" hidden="1" customHeight="1" x14ac:dyDescent="0.3">
      <c r="B212" s="8"/>
    </row>
    <row r="213" spans="2:2" ht="27" hidden="1" customHeight="1" x14ac:dyDescent="0.3">
      <c r="B213" s="8"/>
    </row>
    <row r="214" spans="2:2" ht="27" hidden="1" customHeight="1" x14ac:dyDescent="0.3">
      <c r="B214" s="8"/>
    </row>
    <row r="215" spans="2:2" ht="27" hidden="1" customHeight="1" x14ac:dyDescent="0.3">
      <c r="B215" s="8"/>
    </row>
    <row r="216" spans="2:2" ht="27" hidden="1" customHeight="1" x14ac:dyDescent="0.3">
      <c r="B216" s="8"/>
    </row>
    <row r="217" spans="2:2" ht="27" hidden="1" customHeight="1" x14ac:dyDescent="0.3">
      <c r="B217" s="8"/>
    </row>
    <row r="218" spans="2:2" ht="27" hidden="1" customHeight="1" x14ac:dyDescent="0.3">
      <c r="B218" s="8"/>
    </row>
    <row r="219" spans="2:2" ht="27" hidden="1" customHeight="1" x14ac:dyDescent="0.3">
      <c r="B219" s="8"/>
    </row>
    <row r="220" spans="2:2" ht="27" hidden="1" customHeight="1" x14ac:dyDescent="0.3">
      <c r="B220" s="8"/>
    </row>
    <row r="221" spans="2:2" ht="27" hidden="1" customHeight="1" x14ac:dyDescent="0.3">
      <c r="B221" s="8"/>
    </row>
    <row r="222" spans="2:2" ht="27" hidden="1" customHeight="1" x14ac:dyDescent="0.3">
      <c r="B222" s="8"/>
    </row>
    <row r="223" spans="2:2" ht="27" hidden="1" customHeight="1" x14ac:dyDescent="0.3">
      <c r="B223" s="8"/>
    </row>
    <row r="224" spans="2:2" ht="27" hidden="1" customHeight="1" x14ac:dyDescent="0.3">
      <c r="B224" s="8"/>
    </row>
    <row r="225" spans="2:2" ht="27" hidden="1" customHeight="1" x14ac:dyDescent="0.3">
      <c r="B225" s="8"/>
    </row>
    <row r="226" spans="2:2" ht="27" hidden="1" customHeight="1" x14ac:dyDescent="0.3">
      <c r="B226" s="8"/>
    </row>
    <row r="227" spans="2:2" ht="27" hidden="1" customHeight="1" x14ac:dyDescent="0.3">
      <c r="B227" s="8"/>
    </row>
    <row r="228" spans="2:2" ht="27" hidden="1" customHeight="1" x14ac:dyDescent="0.3">
      <c r="B228" s="8"/>
    </row>
    <row r="229" spans="2:2" ht="27" hidden="1" customHeight="1" x14ac:dyDescent="0.3">
      <c r="B229" s="8"/>
    </row>
    <row r="230" spans="2:2" ht="27" hidden="1" customHeight="1" x14ac:dyDescent="0.3">
      <c r="B230" s="8"/>
    </row>
    <row r="231" spans="2:2" ht="27" hidden="1" customHeight="1" x14ac:dyDescent="0.3">
      <c r="B231" s="8"/>
    </row>
    <row r="232" spans="2:2" ht="27" hidden="1" customHeight="1" x14ac:dyDescent="0.3">
      <c r="B232" s="8"/>
    </row>
    <row r="233" spans="2:2" ht="27" hidden="1" customHeight="1" x14ac:dyDescent="0.3">
      <c r="B233" s="8"/>
    </row>
    <row r="234" spans="2:2" ht="27" hidden="1" customHeight="1" x14ac:dyDescent="0.3">
      <c r="B234" s="8"/>
    </row>
    <row r="235" spans="2:2" ht="27" hidden="1" customHeight="1" x14ac:dyDescent="0.3">
      <c r="B235" s="8"/>
    </row>
    <row r="236" spans="2:2" ht="27" hidden="1" customHeight="1" x14ac:dyDescent="0.3">
      <c r="B236" s="8"/>
    </row>
    <row r="237" spans="2:2" ht="27" hidden="1" customHeight="1" x14ac:dyDescent="0.3">
      <c r="B237" s="8"/>
    </row>
    <row r="238" spans="2:2" ht="27" hidden="1" customHeight="1" x14ac:dyDescent="0.3">
      <c r="B238" s="8"/>
    </row>
    <row r="239" spans="2:2" ht="27" hidden="1" customHeight="1" x14ac:dyDescent="0.3">
      <c r="B239" s="8"/>
    </row>
    <row r="240" spans="2:2" ht="27" hidden="1" customHeight="1" x14ac:dyDescent="0.3">
      <c r="B240" s="8"/>
    </row>
    <row r="241" spans="2:2" ht="27" hidden="1" customHeight="1" x14ac:dyDescent="0.3">
      <c r="B241" s="8"/>
    </row>
    <row r="242" spans="2:2" ht="27" hidden="1" customHeight="1" x14ac:dyDescent="0.3">
      <c r="B242" s="8"/>
    </row>
    <row r="243" spans="2:2" ht="27" hidden="1" customHeight="1" x14ac:dyDescent="0.3">
      <c r="B243" s="8"/>
    </row>
    <row r="244" spans="2:2" ht="27" hidden="1" customHeight="1" x14ac:dyDescent="0.3">
      <c r="B244" s="8"/>
    </row>
    <row r="245" spans="2:2" ht="27" hidden="1" customHeight="1" x14ac:dyDescent="0.3">
      <c r="B245" s="8"/>
    </row>
    <row r="246" spans="2:2" ht="27" hidden="1" customHeight="1" x14ac:dyDescent="0.3">
      <c r="B246" s="8"/>
    </row>
    <row r="247" spans="2:2" ht="27" hidden="1" customHeight="1" x14ac:dyDescent="0.3">
      <c r="B247" s="8"/>
    </row>
    <row r="248" spans="2:2" ht="27" hidden="1" customHeight="1" x14ac:dyDescent="0.3">
      <c r="B248" s="8"/>
    </row>
    <row r="249" spans="2:2" ht="27" hidden="1" customHeight="1" x14ac:dyDescent="0.3">
      <c r="B249" s="8"/>
    </row>
    <row r="250" spans="2:2" ht="27" hidden="1" customHeight="1" x14ac:dyDescent="0.3">
      <c r="B250" s="8"/>
    </row>
    <row r="251" spans="2:2" ht="27" hidden="1" customHeight="1" x14ac:dyDescent="0.3">
      <c r="B251" s="8"/>
    </row>
    <row r="252" spans="2:2" ht="27" hidden="1" customHeight="1" x14ac:dyDescent="0.3">
      <c r="B252" s="8"/>
    </row>
    <row r="253" spans="2:2" ht="27" hidden="1" customHeight="1" x14ac:dyDescent="0.3">
      <c r="B253" s="8"/>
    </row>
    <row r="254" spans="2:2" ht="27" hidden="1" customHeight="1" x14ac:dyDescent="0.3">
      <c r="B254" s="8"/>
    </row>
    <row r="255" spans="2:2" ht="27" hidden="1" customHeight="1" x14ac:dyDescent="0.3">
      <c r="B255" s="8"/>
    </row>
    <row r="256" spans="2:2" ht="27" hidden="1" customHeight="1" x14ac:dyDescent="0.3">
      <c r="B256" s="8"/>
    </row>
    <row r="257" spans="2:2" ht="27" hidden="1" customHeight="1" x14ac:dyDescent="0.3">
      <c r="B257" s="8"/>
    </row>
    <row r="258" spans="2:2" ht="27" hidden="1" customHeight="1" x14ac:dyDescent="0.3">
      <c r="B258" s="8"/>
    </row>
    <row r="259" spans="2:2" ht="27" hidden="1" customHeight="1" x14ac:dyDescent="0.3">
      <c r="B259" s="8"/>
    </row>
    <row r="260" spans="2:2" ht="27" hidden="1" customHeight="1" x14ac:dyDescent="0.3">
      <c r="B260" s="8"/>
    </row>
    <row r="261" spans="2:2" ht="27" hidden="1" customHeight="1" x14ac:dyDescent="0.3">
      <c r="B261" s="8"/>
    </row>
    <row r="262" spans="2:2" ht="27" hidden="1" customHeight="1" x14ac:dyDescent="0.3">
      <c r="B262" s="8"/>
    </row>
    <row r="263" spans="2:2" ht="27" hidden="1" customHeight="1" x14ac:dyDescent="0.3">
      <c r="B263" s="8"/>
    </row>
    <row r="264" spans="2:2" ht="27" hidden="1" customHeight="1" x14ac:dyDescent="0.3">
      <c r="B264" s="8"/>
    </row>
    <row r="265" spans="2:2" ht="27" hidden="1" customHeight="1" x14ac:dyDescent="0.3">
      <c r="B265" s="8"/>
    </row>
    <row r="266" spans="2:2" ht="27" hidden="1" customHeight="1" x14ac:dyDescent="0.3">
      <c r="B266" s="8"/>
    </row>
    <row r="267" spans="2:2" ht="27" hidden="1" customHeight="1" x14ac:dyDescent="0.3">
      <c r="B267" s="8"/>
    </row>
    <row r="268" spans="2:2" ht="27" hidden="1" customHeight="1" x14ac:dyDescent="0.3">
      <c r="B268" s="8"/>
    </row>
    <row r="269" spans="2:2" ht="27" hidden="1" customHeight="1" x14ac:dyDescent="0.3">
      <c r="B269" s="8"/>
    </row>
    <row r="270" spans="2:2" ht="27" hidden="1" customHeight="1" x14ac:dyDescent="0.3">
      <c r="B270" s="8"/>
    </row>
    <row r="271" spans="2:2" ht="27" hidden="1" customHeight="1" x14ac:dyDescent="0.3">
      <c r="B271" s="8"/>
    </row>
    <row r="272" spans="2:2" ht="27" hidden="1" customHeight="1" x14ac:dyDescent="0.3">
      <c r="B272" s="8"/>
    </row>
    <row r="273" spans="2:2" ht="27" hidden="1" customHeight="1" x14ac:dyDescent="0.3">
      <c r="B273" s="8"/>
    </row>
    <row r="274" spans="2:2" ht="27" hidden="1" customHeight="1" x14ac:dyDescent="0.3">
      <c r="B274" s="8"/>
    </row>
    <row r="275" spans="2:2" ht="27" hidden="1" customHeight="1" x14ac:dyDescent="0.3">
      <c r="B275" s="8"/>
    </row>
    <row r="276" spans="2:2" ht="27" hidden="1" customHeight="1" x14ac:dyDescent="0.3">
      <c r="B276" s="8"/>
    </row>
    <row r="277" spans="2:2" ht="27" hidden="1" customHeight="1" x14ac:dyDescent="0.3">
      <c r="B277" s="8"/>
    </row>
    <row r="278" spans="2:2" ht="27" hidden="1" customHeight="1" x14ac:dyDescent="0.3">
      <c r="B278" s="8"/>
    </row>
    <row r="279" spans="2:2" ht="27" hidden="1" customHeight="1" x14ac:dyDescent="0.3">
      <c r="B279" s="8"/>
    </row>
    <row r="280" spans="2:2" ht="27" hidden="1" customHeight="1" x14ac:dyDescent="0.3">
      <c r="B280" s="8"/>
    </row>
    <row r="281" spans="2:2" ht="27" hidden="1" customHeight="1" x14ac:dyDescent="0.3">
      <c r="B281" s="8"/>
    </row>
    <row r="282" spans="2:2" ht="27" hidden="1" customHeight="1" x14ac:dyDescent="0.3">
      <c r="B282" s="8"/>
    </row>
    <row r="283" spans="2:2" ht="27" hidden="1" customHeight="1" x14ac:dyDescent="0.3">
      <c r="B283" s="8"/>
    </row>
    <row r="284" spans="2:2" ht="27" hidden="1" customHeight="1" x14ac:dyDescent="0.3">
      <c r="B284" s="8"/>
    </row>
    <row r="285" spans="2:2" ht="27" hidden="1" customHeight="1" x14ac:dyDescent="0.3">
      <c r="B285" s="8"/>
    </row>
    <row r="286" spans="2:2" ht="27" hidden="1" customHeight="1" x14ac:dyDescent="0.3">
      <c r="B286" s="8"/>
    </row>
    <row r="287" spans="2:2" ht="27" hidden="1" customHeight="1" x14ac:dyDescent="0.3">
      <c r="B287" s="8"/>
    </row>
    <row r="288" spans="2:2" ht="27" hidden="1" customHeight="1" x14ac:dyDescent="0.3">
      <c r="B288" s="8"/>
    </row>
    <row r="289" spans="2:2" ht="27" hidden="1" customHeight="1" x14ac:dyDescent="0.3">
      <c r="B289" s="8"/>
    </row>
    <row r="290" spans="2:2" ht="27" hidden="1" customHeight="1" x14ac:dyDescent="0.3">
      <c r="B290" s="8"/>
    </row>
    <row r="291" spans="2:2" ht="27" hidden="1" customHeight="1" x14ac:dyDescent="0.3">
      <c r="B291" s="8"/>
    </row>
    <row r="292" spans="2:2" ht="27" hidden="1" customHeight="1" x14ac:dyDescent="0.3">
      <c r="B292" s="8"/>
    </row>
    <row r="293" spans="2:2" ht="27" hidden="1" customHeight="1" x14ac:dyDescent="0.3">
      <c r="B293" s="8"/>
    </row>
    <row r="294" spans="2:2" ht="27" hidden="1" customHeight="1" x14ac:dyDescent="0.3">
      <c r="B294" s="8"/>
    </row>
    <row r="295" spans="2:2" ht="27" hidden="1" customHeight="1" x14ac:dyDescent="0.3">
      <c r="B295" s="8"/>
    </row>
    <row r="296" spans="2:2" ht="27" hidden="1" customHeight="1" x14ac:dyDescent="0.3">
      <c r="B296" s="8"/>
    </row>
    <row r="297" spans="2:2" ht="27" hidden="1" customHeight="1" x14ac:dyDescent="0.3">
      <c r="B297" s="8"/>
    </row>
    <row r="298" spans="2:2" ht="27" hidden="1" customHeight="1" x14ac:dyDescent="0.3">
      <c r="B298" s="8"/>
    </row>
    <row r="299" spans="2:2" ht="27" hidden="1" customHeight="1" x14ac:dyDescent="0.3">
      <c r="B299" s="8"/>
    </row>
    <row r="300" spans="2:2" ht="27" hidden="1" customHeight="1" x14ac:dyDescent="0.3">
      <c r="B300" s="8"/>
    </row>
    <row r="301" spans="2:2" ht="27" hidden="1" customHeight="1" x14ac:dyDescent="0.3">
      <c r="B301" s="8"/>
    </row>
    <row r="302" spans="2:2" ht="27" hidden="1" customHeight="1" x14ac:dyDescent="0.3">
      <c r="B302" s="8"/>
    </row>
    <row r="303" spans="2:2" ht="27" hidden="1" customHeight="1" x14ac:dyDescent="0.3">
      <c r="B303" s="8"/>
    </row>
    <row r="304" spans="2:2" ht="27" hidden="1" customHeight="1" x14ac:dyDescent="0.3">
      <c r="B304" s="8"/>
    </row>
    <row r="305" spans="2:2" ht="27" hidden="1" customHeight="1" x14ac:dyDescent="0.3">
      <c r="B305" s="8"/>
    </row>
    <row r="306" spans="2:2" ht="27" hidden="1" customHeight="1" x14ac:dyDescent="0.3">
      <c r="B306" s="8"/>
    </row>
    <row r="307" spans="2:2" ht="27" hidden="1" customHeight="1" x14ac:dyDescent="0.3">
      <c r="B307" s="8"/>
    </row>
    <row r="308" spans="2:2" ht="27" hidden="1" customHeight="1" x14ac:dyDescent="0.3">
      <c r="B308" s="8"/>
    </row>
    <row r="309" spans="2:2" ht="27" hidden="1" customHeight="1" x14ac:dyDescent="0.3">
      <c r="B309" s="8"/>
    </row>
    <row r="310" spans="2:2" ht="27" hidden="1" customHeight="1" x14ac:dyDescent="0.3">
      <c r="B310" s="8"/>
    </row>
    <row r="311" spans="2:2" ht="27" hidden="1" customHeight="1" x14ac:dyDescent="0.3">
      <c r="B311" s="8"/>
    </row>
    <row r="312" spans="2:2" ht="27" hidden="1" customHeight="1" x14ac:dyDescent="0.3">
      <c r="B312" s="8"/>
    </row>
    <row r="313" spans="2:2" ht="27" hidden="1" customHeight="1" x14ac:dyDescent="0.3">
      <c r="B313" s="8"/>
    </row>
    <row r="314" spans="2:2" ht="27" hidden="1" customHeight="1" x14ac:dyDescent="0.3">
      <c r="B314" s="8"/>
    </row>
    <row r="315" spans="2:2" ht="27" hidden="1" customHeight="1" x14ac:dyDescent="0.3">
      <c r="B315" s="8"/>
    </row>
    <row r="316" spans="2:2" ht="27" hidden="1" customHeight="1" x14ac:dyDescent="0.3">
      <c r="B316" s="8"/>
    </row>
    <row r="317" spans="2:2" ht="27" hidden="1" customHeight="1" x14ac:dyDescent="0.3">
      <c r="B317" s="8"/>
    </row>
    <row r="318" spans="2:2" ht="27" hidden="1" customHeight="1" x14ac:dyDescent="0.3">
      <c r="B318" s="8"/>
    </row>
    <row r="319" spans="2:2" ht="27" hidden="1" customHeight="1" x14ac:dyDescent="0.3">
      <c r="B319" s="8"/>
    </row>
    <row r="320" spans="2:2" ht="27" hidden="1" customHeight="1" x14ac:dyDescent="0.3">
      <c r="B320" s="8"/>
    </row>
    <row r="321" spans="2:2" ht="27" hidden="1" customHeight="1" x14ac:dyDescent="0.3">
      <c r="B321" s="8"/>
    </row>
    <row r="322" spans="2:2" ht="27" hidden="1" customHeight="1" x14ac:dyDescent="0.3">
      <c r="B322" s="8"/>
    </row>
    <row r="323" spans="2:2" ht="27" hidden="1" customHeight="1" x14ac:dyDescent="0.3">
      <c r="B323" s="8"/>
    </row>
    <row r="324" spans="2:2" ht="27" hidden="1" customHeight="1" x14ac:dyDescent="0.3">
      <c r="B324" s="8"/>
    </row>
    <row r="325" spans="2:2" ht="27" hidden="1" customHeight="1" x14ac:dyDescent="0.3">
      <c r="B325" s="8"/>
    </row>
    <row r="326" spans="2:2" ht="27" hidden="1" customHeight="1" x14ac:dyDescent="0.3">
      <c r="B326" s="8"/>
    </row>
    <row r="327" spans="2:2" ht="27" hidden="1" customHeight="1" x14ac:dyDescent="0.3">
      <c r="B327" s="8"/>
    </row>
    <row r="328" spans="2:2" ht="27" hidden="1" customHeight="1" x14ac:dyDescent="0.3">
      <c r="B328" s="8"/>
    </row>
    <row r="329" spans="2:2" ht="27" hidden="1" customHeight="1" x14ac:dyDescent="0.3">
      <c r="B329" s="8"/>
    </row>
    <row r="330" spans="2:2" ht="27" hidden="1" customHeight="1" x14ac:dyDescent="0.3">
      <c r="B330" s="8"/>
    </row>
    <row r="331" spans="2:2" ht="27" hidden="1" customHeight="1" x14ac:dyDescent="0.3">
      <c r="B331" s="8"/>
    </row>
    <row r="332" spans="2:2" ht="27" hidden="1" customHeight="1" x14ac:dyDescent="0.3">
      <c r="B332" s="8"/>
    </row>
    <row r="333" spans="2:2" ht="27" hidden="1" customHeight="1" x14ac:dyDescent="0.3">
      <c r="B333" s="8"/>
    </row>
    <row r="334" spans="2:2" ht="27" hidden="1" customHeight="1" x14ac:dyDescent="0.3">
      <c r="B334" s="8"/>
    </row>
    <row r="335" spans="2:2" ht="27" hidden="1" customHeight="1" x14ac:dyDescent="0.3">
      <c r="B335" s="8"/>
    </row>
    <row r="336" spans="2:2" ht="27" hidden="1" customHeight="1" x14ac:dyDescent="0.3">
      <c r="B336" s="8"/>
    </row>
    <row r="337" spans="2:2" ht="27" hidden="1" customHeight="1" x14ac:dyDescent="0.3">
      <c r="B337" s="8"/>
    </row>
    <row r="338" spans="2:2" ht="27" hidden="1" customHeight="1" x14ac:dyDescent="0.3">
      <c r="B338" s="8"/>
    </row>
    <row r="339" spans="2:2" ht="27" hidden="1" customHeight="1" x14ac:dyDescent="0.3">
      <c r="B339" s="8"/>
    </row>
    <row r="340" spans="2:2" ht="27" hidden="1" customHeight="1" x14ac:dyDescent="0.3">
      <c r="B340" s="8"/>
    </row>
    <row r="341" spans="2:2" ht="27" hidden="1" customHeight="1" x14ac:dyDescent="0.3">
      <c r="B341" s="8"/>
    </row>
    <row r="342" spans="2:2" ht="27" hidden="1" customHeight="1" x14ac:dyDescent="0.3">
      <c r="B342" s="8"/>
    </row>
    <row r="343" spans="2:2" ht="27" hidden="1" customHeight="1" x14ac:dyDescent="0.3">
      <c r="B343" s="8"/>
    </row>
    <row r="344" spans="2:2" ht="27" hidden="1" customHeight="1" x14ac:dyDescent="0.3">
      <c r="B344" s="8"/>
    </row>
    <row r="345" spans="2:2" ht="27" hidden="1" customHeight="1" x14ac:dyDescent="0.3">
      <c r="B345" s="8"/>
    </row>
    <row r="346" spans="2:2" ht="27" hidden="1" customHeight="1" x14ac:dyDescent="0.3">
      <c r="B346" s="8"/>
    </row>
    <row r="347" spans="2:2" ht="27" hidden="1" customHeight="1" x14ac:dyDescent="0.3">
      <c r="B347" s="8"/>
    </row>
    <row r="348" spans="2:2" ht="27" hidden="1" customHeight="1" x14ac:dyDescent="0.3">
      <c r="B348" s="8"/>
    </row>
    <row r="349" spans="2:2" ht="27" hidden="1" customHeight="1" x14ac:dyDescent="0.3">
      <c r="B349" s="8"/>
    </row>
    <row r="350" spans="2:2" ht="27" hidden="1" customHeight="1" x14ac:dyDescent="0.3">
      <c r="B350" s="8"/>
    </row>
    <row r="351" spans="2:2" ht="27" hidden="1" customHeight="1" x14ac:dyDescent="0.3">
      <c r="B351" s="8"/>
    </row>
    <row r="352" spans="2:2" ht="27" hidden="1" customHeight="1" x14ac:dyDescent="0.3">
      <c r="B352" s="8"/>
    </row>
    <row r="353" spans="2:2" ht="27" hidden="1" customHeight="1" x14ac:dyDescent="0.3">
      <c r="B353" s="8"/>
    </row>
    <row r="354" spans="2:2" ht="27" hidden="1" customHeight="1" x14ac:dyDescent="0.3">
      <c r="B354" s="8"/>
    </row>
    <row r="355" spans="2:2" ht="27" hidden="1" customHeight="1" x14ac:dyDescent="0.3">
      <c r="B355" s="8"/>
    </row>
    <row r="356" spans="2:2" ht="27" hidden="1" customHeight="1" x14ac:dyDescent="0.3">
      <c r="B356" s="8"/>
    </row>
    <row r="357" spans="2:2" ht="27" hidden="1" customHeight="1" x14ac:dyDescent="0.3">
      <c r="B357" s="8"/>
    </row>
    <row r="358" spans="2:2" ht="27" hidden="1" customHeight="1" x14ac:dyDescent="0.3">
      <c r="B358" s="8"/>
    </row>
    <row r="359" spans="2:2" ht="27" hidden="1" customHeight="1" x14ac:dyDescent="0.3">
      <c r="B359" s="8"/>
    </row>
    <row r="360" spans="2:2" ht="27" hidden="1" customHeight="1" x14ac:dyDescent="0.3">
      <c r="B360" s="8"/>
    </row>
    <row r="361" spans="2:2" ht="27" hidden="1" customHeight="1" x14ac:dyDescent="0.3">
      <c r="B361" s="8"/>
    </row>
    <row r="362" spans="2:2" ht="27" hidden="1" customHeight="1" x14ac:dyDescent="0.3">
      <c r="B362" s="8"/>
    </row>
    <row r="363" spans="2:2" ht="27" hidden="1" customHeight="1" x14ac:dyDescent="0.3">
      <c r="B363" s="8"/>
    </row>
    <row r="364" spans="2:2" ht="27" hidden="1" customHeight="1" x14ac:dyDescent="0.3">
      <c r="B364" s="8"/>
    </row>
    <row r="365" spans="2:2" ht="27" hidden="1" customHeight="1" x14ac:dyDescent="0.3">
      <c r="B365" s="8"/>
    </row>
    <row r="366" spans="2:2" ht="27" hidden="1" customHeight="1" x14ac:dyDescent="0.3">
      <c r="B366" s="8"/>
    </row>
    <row r="367" spans="2:2" ht="27" hidden="1" customHeight="1" x14ac:dyDescent="0.3">
      <c r="B367" s="8"/>
    </row>
    <row r="368" spans="2:2" ht="27" hidden="1" customHeight="1" x14ac:dyDescent="0.3">
      <c r="B368" s="8"/>
    </row>
    <row r="369" spans="2:2" ht="27" hidden="1" customHeight="1" x14ac:dyDescent="0.3">
      <c r="B369" s="8"/>
    </row>
    <row r="370" spans="2:2" ht="27" hidden="1" customHeight="1" x14ac:dyDescent="0.3">
      <c r="B370" s="8"/>
    </row>
    <row r="371" spans="2:2" ht="27" hidden="1" customHeight="1" x14ac:dyDescent="0.3">
      <c r="B371" s="8"/>
    </row>
    <row r="372" spans="2:2" ht="27" hidden="1" customHeight="1" x14ac:dyDescent="0.3">
      <c r="B372" s="8"/>
    </row>
    <row r="373" spans="2:2" ht="27" hidden="1" customHeight="1" x14ac:dyDescent="0.3">
      <c r="B373" s="8"/>
    </row>
    <row r="374" spans="2:2" ht="27" hidden="1" customHeight="1" x14ac:dyDescent="0.3">
      <c r="B374" s="8"/>
    </row>
    <row r="375" spans="2:2" ht="27" hidden="1" customHeight="1" x14ac:dyDescent="0.3">
      <c r="B375" s="8"/>
    </row>
    <row r="376" spans="2:2" ht="27" hidden="1" customHeight="1" x14ac:dyDescent="0.3">
      <c r="B376" s="8"/>
    </row>
    <row r="377" spans="2:2" ht="27" hidden="1" customHeight="1" x14ac:dyDescent="0.3">
      <c r="B377" s="8"/>
    </row>
    <row r="378" spans="2:2" ht="27" hidden="1" customHeight="1" x14ac:dyDescent="0.3">
      <c r="B378" s="8"/>
    </row>
    <row r="379" spans="2:2" ht="27" hidden="1" customHeight="1" x14ac:dyDescent="0.3">
      <c r="B379" s="8"/>
    </row>
    <row r="380" spans="2:2" ht="27" hidden="1" customHeight="1" x14ac:dyDescent="0.3">
      <c r="B380" s="8"/>
    </row>
    <row r="381" spans="2:2" ht="27" hidden="1" customHeight="1" x14ac:dyDescent="0.3">
      <c r="B381" s="8"/>
    </row>
    <row r="382" spans="2:2" ht="27" hidden="1" customHeight="1" x14ac:dyDescent="0.3">
      <c r="B382" s="8"/>
    </row>
    <row r="383" spans="2:2" ht="27" hidden="1" customHeight="1" x14ac:dyDescent="0.3">
      <c r="B383" s="8"/>
    </row>
    <row r="384" spans="2:2" ht="27" hidden="1" customHeight="1" x14ac:dyDescent="0.3">
      <c r="B384" s="8"/>
    </row>
    <row r="385" spans="2:2" ht="27" hidden="1" customHeight="1" x14ac:dyDescent="0.3">
      <c r="B385" s="8"/>
    </row>
    <row r="386" spans="2:2" ht="27" hidden="1" customHeight="1" x14ac:dyDescent="0.3">
      <c r="B386" s="8"/>
    </row>
    <row r="387" spans="2:2" ht="27" hidden="1" customHeight="1" x14ac:dyDescent="0.3">
      <c r="B387" s="8"/>
    </row>
    <row r="388" spans="2:2" ht="27" hidden="1" customHeight="1" x14ac:dyDescent="0.3">
      <c r="B388" s="8"/>
    </row>
    <row r="389" spans="2:2" ht="27" hidden="1" customHeight="1" x14ac:dyDescent="0.3">
      <c r="B389" s="8"/>
    </row>
    <row r="390" spans="2:2" ht="27" hidden="1" customHeight="1" x14ac:dyDescent="0.3">
      <c r="B390" s="8"/>
    </row>
    <row r="391" spans="2:2" ht="27" hidden="1" customHeight="1" x14ac:dyDescent="0.3">
      <c r="B391" s="8"/>
    </row>
    <row r="392" spans="2:2" ht="27" hidden="1" customHeight="1" x14ac:dyDescent="0.3">
      <c r="B392" s="8"/>
    </row>
    <row r="393" spans="2:2" ht="27" hidden="1" customHeight="1" x14ac:dyDescent="0.3">
      <c r="B393" s="8"/>
    </row>
    <row r="394" spans="2:2" ht="27" hidden="1" customHeight="1" x14ac:dyDescent="0.3">
      <c r="B394" s="8"/>
    </row>
    <row r="395" spans="2:2" ht="27" hidden="1" customHeight="1" x14ac:dyDescent="0.3">
      <c r="B395" s="8"/>
    </row>
    <row r="396" spans="2:2" ht="27" hidden="1" customHeight="1" x14ac:dyDescent="0.3">
      <c r="B396" s="8"/>
    </row>
    <row r="397" spans="2:2" ht="27" hidden="1" customHeight="1" x14ac:dyDescent="0.3">
      <c r="B397" s="8"/>
    </row>
    <row r="398" spans="2:2" ht="27" hidden="1" customHeight="1" x14ac:dyDescent="0.3">
      <c r="B398" s="8"/>
    </row>
    <row r="399" spans="2:2" ht="27" hidden="1" customHeight="1" x14ac:dyDescent="0.3">
      <c r="B399" s="8"/>
    </row>
    <row r="400" spans="2:2" ht="27" hidden="1" customHeight="1" x14ac:dyDescent="0.3">
      <c r="B400" s="8"/>
    </row>
    <row r="401" spans="2:2" ht="27" hidden="1" customHeight="1" x14ac:dyDescent="0.3">
      <c r="B401" s="8"/>
    </row>
    <row r="402" spans="2:2" ht="27" hidden="1" customHeight="1" x14ac:dyDescent="0.3">
      <c r="B402" s="8"/>
    </row>
    <row r="403" spans="2:2" ht="27" hidden="1" customHeight="1" x14ac:dyDescent="0.3">
      <c r="B403" s="8"/>
    </row>
    <row r="404" spans="2:2" ht="27" hidden="1" customHeight="1" x14ac:dyDescent="0.3">
      <c r="B404" s="8"/>
    </row>
    <row r="405" spans="2:2" ht="27" hidden="1" customHeight="1" x14ac:dyDescent="0.3">
      <c r="B405" s="8"/>
    </row>
    <row r="406" spans="2:2" ht="27" hidden="1" customHeight="1" x14ac:dyDescent="0.3">
      <c r="B406" s="8"/>
    </row>
    <row r="407" spans="2:2" ht="27" hidden="1" customHeight="1" x14ac:dyDescent="0.3">
      <c r="B407" s="8"/>
    </row>
    <row r="408" spans="2:2" ht="27" hidden="1" customHeight="1" x14ac:dyDescent="0.3">
      <c r="B408" s="8"/>
    </row>
    <row r="409" spans="2:2" ht="27" hidden="1" customHeight="1" x14ac:dyDescent="0.3">
      <c r="B409" s="8"/>
    </row>
    <row r="410" spans="2:2" ht="27" hidden="1" customHeight="1" x14ac:dyDescent="0.3">
      <c r="B410" s="8"/>
    </row>
    <row r="411" spans="2:2" ht="27" hidden="1" customHeight="1" x14ac:dyDescent="0.3">
      <c r="B411" s="8"/>
    </row>
    <row r="412" spans="2:2" ht="27" hidden="1" customHeight="1" x14ac:dyDescent="0.3">
      <c r="B412" s="8"/>
    </row>
    <row r="413" spans="2:2" ht="27" hidden="1" customHeight="1" x14ac:dyDescent="0.3">
      <c r="B413" s="8"/>
    </row>
    <row r="414" spans="2:2" ht="27" hidden="1" customHeight="1" x14ac:dyDescent="0.3">
      <c r="B414" s="8"/>
    </row>
    <row r="415" spans="2:2" ht="27" hidden="1" customHeight="1" x14ac:dyDescent="0.3">
      <c r="B415" s="8"/>
    </row>
    <row r="416" spans="2:2" ht="27" hidden="1" customHeight="1" x14ac:dyDescent="0.3">
      <c r="B416" s="8"/>
    </row>
    <row r="417" spans="2:2" ht="27" hidden="1" customHeight="1" x14ac:dyDescent="0.3">
      <c r="B417" s="8"/>
    </row>
    <row r="418" spans="2:2" ht="27" hidden="1" customHeight="1" x14ac:dyDescent="0.3">
      <c r="B418" s="8"/>
    </row>
    <row r="419" spans="2:2" ht="27" hidden="1" customHeight="1" x14ac:dyDescent="0.3">
      <c r="B419" s="8"/>
    </row>
    <row r="420" spans="2:2" ht="27" hidden="1" customHeight="1" x14ac:dyDescent="0.3">
      <c r="B420" s="8"/>
    </row>
    <row r="421" spans="2:2" ht="27" hidden="1" customHeight="1" x14ac:dyDescent="0.3">
      <c r="B421" s="8"/>
    </row>
    <row r="422" spans="2:2" ht="27" hidden="1" customHeight="1" x14ac:dyDescent="0.3">
      <c r="B422" s="8"/>
    </row>
    <row r="423" spans="2:2" ht="27" hidden="1" customHeight="1" x14ac:dyDescent="0.3">
      <c r="B423" s="8"/>
    </row>
    <row r="424" spans="2:2" ht="27" hidden="1" customHeight="1" x14ac:dyDescent="0.3">
      <c r="B424" s="8"/>
    </row>
    <row r="425" spans="2:2" ht="27" hidden="1" customHeight="1" x14ac:dyDescent="0.3">
      <c r="B425" s="8"/>
    </row>
    <row r="426" spans="2:2" ht="27" hidden="1" customHeight="1" x14ac:dyDescent="0.3">
      <c r="B426" s="8"/>
    </row>
    <row r="427" spans="2:2" ht="27" hidden="1" customHeight="1" x14ac:dyDescent="0.3">
      <c r="B427" s="8"/>
    </row>
    <row r="428" spans="2:2" ht="27" hidden="1" customHeight="1" x14ac:dyDescent="0.3">
      <c r="B428" s="8"/>
    </row>
    <row r="429" spans="2:2" ht="27" hidden="1" customHeight="1" x14ac:dyDescent="0.3">
      <c r="B429" s="8"/>
    </row>
    <row r="430" spans="2:2" ht="27" hidden="1" customHeight="1" x14ac:dyDescent="0.3">
      <c r="B430" s="8"/>
    </row>
    <row r="431" spans="2:2" ht="27" hidden="1" customHeight="1" x14ac:dyDescent="0.3">
      <c r="B431" s="8"/>
    </row>
    <row r="432" spans="2:2" ht="27" hidden="1" customHeight="1" x14ac:dyDescent="0.3">
      <c r="B432" s="8"/>
    </row>
    <row r="433" spans="2:2" ht="27" hidden="1" customHeight="1" x14ac:dyDescent="0.3">
      <c r="B433" s="8"/>
    </row>
    <row r="434" spans="2:2" ht="27" hidden="1" customHeight="1" x14ac:dyDescent="0.3">
      <c r="B434" s="8"/>
    </row>
    <row r="435" spans="2:2" ht="27" hidden="1" customHeight="1" x14ac:dyDescent="0.3">
      <c r="B435" s="8"/>
    </row>
    <row r="436" spans="2:2" ht="27" hidden="1" customHeight="1" x14ac:dyDescent="0.3">
      <c r="B436" s="8"/>
    </row>
    <row r="437" spans="2:2" ht="27" hidden="1" customHeight="1" x14ac:dyDescent="0.3">
      <c r="B437" s="8"/>
    </row>
    <row r="438" spans="2:2" ht="27" hidden="1" customHeight="1" x14ac:dyDescent="0.3">
      <c r="B438" s="8"/>
    </row>
    <row r="439" spans="2:2" ht="27" hidden="1" customHeight="1" x14ac:dyDescent="0.3">
      <c r="B439" s="8"/>
    </row>
    <row r="440" spans="2:2" ht="27" hidden="1" customHeight="1" x14ac:dyDescent="0.3">
      <c r="B440" s="8"/>
    </row>
    <row r="441" spans="2:2" ht="27" hidden="1" customHeight="1" x14ac:dyDescent="0.3">
      <c r="B441" s="8"/>
    </row>
    <row r="442" spans="2:2" ht="27" hidden="1" customHeight="1" x14ac:dyDescent="0.3">
      <c r="B442" s="8"/>
    </row>
    <row r="443" spans="2:2" ht="27" hidden="1" customHeight="1" x14ac:dyDescent="0.3">
      <c r="B443" s="8"/>
    </row>
    <row r="444" spans="2:2" ht="27" hidden="1" customHeight="1" x14ac:dyDescent="0.3">
      <c r="B444" s="8"/>
    </row>
    <row r="445" spans="2:2" ht="27" hidden="1" customHeight="1" x14ac:dyDescent="0.3">
      <c r="B445" s="8"/>
    </row>
    <row r="446" spans="2:2" ht="27" hidden="1" customHeight="1" x14ac:dyDescent="0.3">
      <c r="B446" s="8"/>
    </row>
    <row r="447" spans="2:2" ht="27" hidden="1" customHeight="1" x14ac:dyDescent="0.3">
      <c r="B447" s="8"/>
    </row>
    <row r="448" spans="2:2" ht="27" hidden="1" customHeight="1" x14ac:dyDescent="0.3">
      <c r="B448" s="8"/>
    </row>
    <row r="449" spans="2:2" ht="27" hidden="1" customHeight="1" x14ac:dyDescent="0.3">
      <c r="B449" s="8"/>
    </row>
    <row r="450" spans="2:2" ht="27" hidden="1" customHeight="1" x14ac:dyDescent="0.3">
      <c r="B450" s="8"/>
    </row>
    <row r="451" spans="2:2" ht="27" hidden="1" customHeight="1" x14ac:dyDescent="0.3">
      <c r="B451" s="8"/>
    </row>
    <row r="452" spans="2:2" ht="27" hidden="1" customHeight="1" x14ac:dyDescent="0.3">
      <c r="B452" s="8"/>
    </row>
    <row r="453" spans="2:2" ht="27" hidden="1" customHeight="1" x14ac:dyDescent="0.3">
      <c r="B453" s="8"/>
    </row>
    <row r="454" spans="2:2" ht="27" hidden="1" customHeight="1" x14ac:dyDescent="0.3">
      <c r="B454" s="8"/>
    </row>
    <row r="455" spans="2:2" ht="27" hidden="1" customHeight="1" x14ac:dyDescent="0.3">
      <c r="B455" s="8"/>
    </row>
    <row r="456" spans="2:2" ht="27" hidden="1" customHeight="1" x14ac:dyDescent="0.3">
      <c r="B456" s="8"/>
    </row>
    <row r="457" spans="2:2" ht="27" hidden="1" customHeight="1" x14ac:dyDescent="0.3">
      <c r="B457" s="8"/>
    </row>
    <row r="458" spans="2:2" ht="27" hidden="1" customHeight="1" x14ac:dyDescent="0.3">
      <c r="B458" s="8"/>
    </row>
    <row r="459" spans="2:2" ht="27" hidden="1" customHeight="1" x14ac:dyDescent="0.3">
      <c r="B459" s="8"/>
    </row>
    <row r="460" spans="2:2" ht="27" hidden="1" customHeight="1" x14ac:dyDescent="0.3">
      <c r="B460" s="8"/>
    </row>
    <row r="461" spans="2:2" ht="27" hidden="1" customHeight="1" x14ac:dyDescent="0.3">
      <c r="B461" s="8"/>
    </row>
    <row r="462" spans="2:2" ht="27" hidden="1" customHeight="1" x14ac:dyDescent="0.3">
      <c r="B462" s="8"/>
    </row>
    <row r="463" spans="2:2" ht="27" hidden="1" customHeight="1" x14ac:dyDescent="0.3">
      <c r="B463" s="8"/>
    </row>
    <row r="464" spans="2:2" ht="27" hidden="1" customHeight="1" x14ac:dyDescent="0.3">
      <c r="B464" s="8"/>
    </row>
    <row r="465" spans="2:2" ht="27" hidden="1" customHeight="1" x14ac:dyDescent="0.3">
      <c r="B465" s="8"/>
    </row>
    <row r="466" spans="2:2" ht="27" hidden="1" customHeight="1" x14ac:dyDescent="0.3">
      <c r="B466" s="8"/>
    </row>
    <row r="467" spans="2:2" ht="27" hidden="1" customHeight="1" x14ac:dyDescent="0.3">
      <c r="B467" s="8"/>
    </row>
    <row r="468" spans="2:2" ht="27" hidden="1" customHeight="1" x14ac:dyDescent="0.3">
      <c r="B468" s="8"/>
    </row>
    <row r="469" spans="2:2" ht="27" hidden="1" customHeight="1" x14ac:dyDescent="0.3">
      <c r="B469" s="8"/>
    </row>
    <row r="470" spans="2:2" ht="27" hidden="1" customHeight="1" x14ac:dyDescent="0.3">
      <c r="B470" s="8"/>
    </row>
    <row r="471" spans="2:2" ht="27" hidden="1" customHeight="1" x14ac:dyDescent="0.3">
      <c r="B471" s="8"/>
    </row>
    <row r="472" spans="2:2" ht="27" hidden="1" customHeight="1" x14ac:dyDescent="0.3">
      <c r="B472" s="8"/>
    </row>
    <row r="473" spans="2:2" ht="27" hidden="1" customHeight="1" x14ac:dyDescent="0.3">
      <c r="B473" s="8"/>
    </row>
    <row r="474" spans="2:2" ht="27" hidden="1" customHeight="1" x14ac:dyDescent="0.3">
      <c r="B474" s="8"/>
    </row>
    <row r="475" spans="2:2" ht="27" hidden="1" customHeight="1" x14ac:dyDescent="0.3">
      <c r="B475" s="8"/>
    </row>
    <row r="476" spans="2:2" ht="27" hidden="1" customHeight="1" x14ac:dyDescent="0.3">
      <c r="B476" s="8"/>
    </row>
    <row r="477" spans="2:2" ht="27" hidden="1" customHeight="1" x14ac:dyDescent="0.3">
      <c r="B477" s="8"/>
    </row>
    <row r="478" spans="2:2" ht="27" hidden="1" customHeight="1" x14ac:dyDescent="0.3">
      <c r="B478" s="8"/>
    </row>
    <row r="479" spans="2:2" ht="27" hidden="1" customHeight="1" x14ac:dyDescent="0.3">
      <c r="B479" s="8"/>
    </row>
    <row r="480" spans="2:2" ht="27" hidden="1" customHeight="1" x14ac:dyDescent="0.3">
      <c r="B480" s="8"/>
    </row>
    <row r="481" spans="2:2" ht="27" hidden="1" customHeight="1" x14ac:dyDescent="0.3">
      <c r="B481" s="8"/>
    </row>
    <row r="482" spans="2:2" ht="27" hidden="1" customHeight="1" x14ac:dyDescent="0.3">
      <c r="B482" s="8"/>
    </row>
    <row r="483" spans="2:2" ht="27" hidden="1" customHeight="1" x14ac:dyDescent="0.3">
      <c r="B483" s="8"/>
    </row>
    <row r="484" spans="2:2" ht="27" hidden="1" customHeight="1" x14ac:dyDescent="0.3">
      <c r="B484" s="8"/>
    </row>
    <row r="485" spans="2:2" ht="27" hidden="1" customHeight="1" x14ac:dyDescent="0.3">
      <c r="B485" s="8"/>
    </row>
    <row r="486" spans="2:2" ht="27" hidden="1" customHeight="1" x14ac:dyDescent="0.3">
      <c r="B486" s="8"/>
    </row>
    <row r="487" spans="2:2" ht="27" hidden="1" customHeight="1" x14ac:dyDescent="0.3">
      <c r="B487" s="8"/>
    </row>
    <row r="488" spans="2:2" ht="27" hidden="1" customHeight="1" x14ac:dyDescent="0.3">
      <c r="B488" s="8"/>
    </row>
    <row r="489" spans="2:2" ht="27" hidden="1" customHeight="1" x14ac:dyDescent="0.3">
      <c r="B489" s="8"/>
    </row>
    <row r="490" spans="2:2" ht="27" hidden="1" customHeight="1" x14ac:dyDescent="0.3">
      <c r="B490" s="8"/>
    </row>
    <row r="491" spans="2:2" ht="27" hidden="1" customHeight="1" x14ac:dyDescent="0.3">
      <c r="B491" s="8"/>
    </row>
    <row r="492" spans="2:2" ht="27" hidden="1" customHeight="1" x14ac:dyDescent="0.3">
      <c r="B492" s="8"/>
    </row>
    <row r="493" spans="2:2" ht="27" hidden="1" customHeight="1" x14ac:dyDescent="0.3">
      <c r="B493" s="8"/>
    </row>
    <row r="494" spans="2:2" ht="27" hidden="1" customHeight="1" x14ac:dyDescent="0.3">
      <c r="B494" s="8"/>
    </row>
    <row r="495" spans="2:2" ht="27" hidden="1" customHeight="1" x14ac:dyDescent="0.3">
      <c r="B495" s="8"/>
    </row>
    <row r="496" spans="2:2" ht="27" hidden="1" customHeight="1" x14ac:dyDescent="0.3">
      <c r="B496" s="8"/>
    </row>
    <row r="497" spans="2:2" ht="27" hidden="1" customHeight="1" x14ac:dyDescent="0.3">
      <c r="B497" s="8"/>
    </row>
    <row r="498" spans="2:2" ht="27" hidden="1" customHeight="1" x14ac:dyDescent="0.3">
      <c r="B498" s="8"/>
    </row>
    <row r="499" spans="2:2" ht="27" hidden="1" customHeight="1" x14ac:dyDescent="0.3">
      <c r="B499" s="8"/>
    </row>
    <row r="500" spans="2:2" ht="27" hidden="1" customHeight="1" x14ac:dyDescent="0.3">
      <c r="B500" s="8"/>
    </row>
    <row r="501" spans="2:2" ht="27" hidden="1" customHeight="1" x14ac:dyDescent="0.3">
      <c r="B501" s="8"/>
    </row>
    <row r="502" spans="2:2" ht="27" hidden="1" customHeight="1" x14ac:dyDescent="0.3">
      <c r="B502" s="8"/>
    </row>
    <row r="503" spans="2:2" ht="27" hidden="1" customHeight="1" x14ac:dyDescent="0.3">
      <c r="B503" s="8"/>
    </row>
    <row r="504" spans="2:2" ht="27" hidden="1" customHeight="1" x14ac:dyDescent="0.3">
      <c r="B504" s="8"/>
    </row>
    <row r="505" spans="2:2" ht="27" hidden="1" customHeight="1" x14ac:dyDescent="0.3">
      <c r="B505" s="8"/>
    </row>
    <row r="506" spans="2:2" ht="27" hidden="1" customHeight="1" x14ac:dyDescent="0.3">
      <c r="B506" s="8"/>
    </row>
    <row r="507" spans="2:2" ht="27" hidden="1" customHeight="1" x14ac:dyDescent="0.3">
      <c r="B507" s="8"/>
    </row>
    <row r="508" spans="2:2" ht="27" hidden="1" customHeight="1" x14ac:dyDescent="0.3">
      <c r="B508" s="8"/>
    </row>
    <row r="509" spans="2:2" ht="27" hidden="1" customHeight="1" x14ac:dyDescent="0.3">
      <c r="B509" s="8"/>
    </row>
    <row r="510" spans="2:2" ht="27" hidden="1" customHeight="1" x14ac:dyDescent="0.3">
      <c r="B510" s="8"/>
    </row>
    <row r="511" spans="2:2" ht="27" hidden="1" customHeight="1" x14ac:dyDescent="0.3">
      <c r="B511" s="8"/>
    </row>
    <row r="512" spans="2:2" ht="27" hidden="1" customHeight="1" x14ac:dyDescent="0.3">
      <c r="B512" s="8"/>
    </row>
    <row r="513" spans="2:2" ht="27" hidden="1" customHeight="1" x14ac:dyDescent="0.3">
      <c r="B513" s="8"/>
    </row>
    <row r="514" spans="2:2" ht="27" hidden="1" customHeight="1" x14ac:dyDescent="0.3">
      <c r="B514" s="8"/>
    </row>
    <row r="515" spans="2:2" ht="27" hidden="1" customHeight="1" x14ac:dyDescent="0.3">
      <c r="B515" s="8"/>
    </row>
    <row r="516" spans="2:2" ht="27" hidden="1" customHeight="1" x14ac:dyDescent="0.3">
      <c r="B516" s="8"/>
    </row>
    <row r="517" spans="2:2" ht="27" hidden="1" customHeight="1" x14ac:dyDescent="0.3">
      <c r="B517" s="8"/>
    </row>
    <row r="518" spans="2:2" ht="27" hidden="1" customHeight="1" x14ac:dyDescent="0.3">
      <c r="B518" s="8"/>
    </row>
    <row r="519" spans="2:2" ht="27" hidden="1" customHeight="1" x14ac:dyDescent="0.3">
      <c r="B519" s="8"/>
    </row>
    <row r="520" spans="2:2" ht="27" hidden="1" customHeight="1" x14ac:dyDescent="0.3">
      <c r="B520" s="8"/>
    </row>
    <row r="521" spans="2:2" ht="27" hidden="1" customHeight="1" x14ac:dyDescent="0.3">
      <c r="B521" s="8"/>
    </row>
    <row r="522" spans="2:2" ht="27" hidden="1" customHeight="1" x14ac:dyDescent="0.3">
      <c r="B522" s="8"/>
    </row>
    <row r="523" spans="2:2" ht="27" hidden="1" customHeight="1" x14ac:dyDescent="0.3">
      <c r="B523" s="8"/>
    </row>
    <row r="524" spans="2:2" ht="27" hidden="1" customHeight="1" x14ac:dyDescent="0.3">
      <c r="B524" s="8"/>
    </row>
    <row r="525" spans="2:2" ht="27" hidden="1" customHeight="1" x14ac:dyDescent="0.3">
      <c r="B525" s="8"/>
    </row>
    <row r="526" spans="2:2" ht="27" hidden="1" customHeight="1" x14ac:dyDescent="0.3">
      <c r="B526" s="8"/>
    </row>
    <row r="527" spans="2:2" ht="27" hidden="1" customHeight="1" x14ac:dyDescent="0.3">
      <c r="B527" s="8"/>
    </row>
    <row r="528" spans="2:2" ht="27" hidden="1" customHeight="1" x14ac:dyDescent="0.3">
      <c r="B528" s="8"/>
    </row>
    <row r="529" spans="2:2" ht="27" hidden="1" customHeight="1" x14ac:dyDescent="0.3">
      <c r="B529" s="8"/>
    </row>
    <row r="530" spans="2:2" ht="27" hidden="1" customHeight="1" x14ac:dyDescent="0.3">
      <c r="B530" s="8"/>
    </row>
    <row r="531" spans="2:2" ht="27" hidden="1" customHeight="1" x14ac:dyDescent="0.3">
      <c r="B531" s="8"/>
    </row>
    <row r="532" spans="2:2" ht="27" hidden="1" customHeight="1" x14ac:dyDescent="0.3">
      <c r="B532" s="8"/>
    </row>
    <row r="533" spans="2:2" ht="27" hidden="1" customHeight="1" x14ac:dyDescent="0.3">
      <c r="B533" s="8"/>
    </row>
    <row r="534" spans="2:2" ht="27" hidden="1" customHeight="1" x14ac:dyDescent="0.3">
      <c r="B534" s="8"/>
    </row>
    <row r="535" spans="2:2" ht="27" hidden="1" customHeight="1" x14ac:dyDescent="0.3">
      <c r="B535" s="8"/>
    </row>
    <row r="536" spans="2:2" ht="27" hidden="1" customHeight="1" x14ac:dyDescent="0.3">
      <c r="B536" s="8"/>
    </row>
    <row r="537" spans="2:2" ht="27" hidden="1" customHeight="1" x14ac:dyDescent="0.3">
      <c r="B537" s="8"/>
    </row>
    <row r="538" spans="2:2" ht="27" hidden="1" customHeight="1" x14ac:dyDescent="0.3">
      <c r="B538" s="8"/>
    </row>
    <row r="539" spans="2:2" ht="27" hidden="1" customHeight="1" x14ac:dyDescent="0.3">
      <c r="B539" s="8"/>
    </row>
    <row r="540" spans="2:2" ht="27" hidden="1" customHeight="1" x14ac:dyDescent="0.3">
      <c r="B540" s="8"/>
    </row>
    <row r="541" spans="2:2" ht="27" hidden="1" customHeight="1" x14ac:dyDescent="0.3">
      <c r="B541" s="8"/>
    </row>
    <row r="542" spans="2:2" ht="27" hidden="1" customHeight="1" x14ac:dyDescent="0.3">
      <c r="B542" s="8"/>
    </row>
    <row r="543" spans="2:2" ht="27" hidden="1" customHeight="1" x14ac:dyDescent="0.3">
      <c r="B543" s="8"/>
    </row>
    <row r="544" spans="2:2" ht="27" hidden="1" customHeight="1" x14ac:dyDescent="0.3">
      <c r="B544" s="8"/>
    </row>
    <row r="545" spans="2:2" ht="27" hidden="1" customHeight="1" x14ac:dyDescent="0.3">
      <c r="B545" s="8"/>
    </row>
    <row r="546" spans="2:2" ht="27" hidden="1" customHeight="1" x14ac:dyDescent="0.3">
      <c r="B546" s="8"/>
    </row>
    <row r="547" spans="2:2" ht="27" hidden="1" customHeight="1" x14ac:dyDescent="0.3">
      <c r="B547" s="8"/>
    </row>
    <row r="548" spans="2:2" ht="27" hidden="1" customHeight="1" x14ac:dyDescent="0.3">
      <c r="B548" s="8"/>
    </row>
    <row r="549" spans="2:2" ht="27" hidden="1" customHeight="1" x14ac:dyDescent="0.3">
      <c r="B549" s="8"/>
    </row>
    <row r="550" spans="2:2" ht="27" hidden="1" customHeight="1" x14ac:dyDescent="0.3">
      <c r="B550" s="8"/>
    </row>
    <row r="551" spans="2:2" ht="27" hidden="1" customHeight="1" x14ac:dyDescent="0.3">
      <c r="B551" s="8"/>
    </row>
    <row r="552" spans="2:2" ht="27" hidden="1" customHeight="1" x14ac:dyDescent="0.3">
      <c r="B552" s="8"/>
    </row>
    <row r="553" spans="2:2" ht="27" hidden="1" customHeight="1" x14ac:dyDescent="0.3">
      <c r="B553" s="8"/>
    </row>
    <row r="554" spans="2:2" ht="27" hidden="1" customHeight="1" x14ac:dyDescent="0.3">
      <c r="B554" s="8"/>
    </row>
    <row r="555" spans="2:2" ht="27" hidden="1" customHeight="1" x14ac:dyDescent="0.3">
      <c r="B555" s="8"/>
    </row>
    <row r="556" spans="2:2" ht="27" hidden="1" customHeight="1" x14ac:dyDescent="0.3">
      <c r="B556" s="8"/>
    </row>
    <row r="557" spans="2:2" ht="27" hidden="1" customHeight="1" x14ac:dyDescent="0.3">
      <c r="B557" s="8"/>
    </row>
    <row r="558" spans="2:2" ht="27" hidden="1" customHeight="1" x14ac:dyDescent="0.3">
      <c r="B558" s="8"/>
    </row>
    <row r="559" spans="2:2" ht="27" hidden="1" customHeight="1" x14ac:dyDescent="0.3">
      <c r="B559" s="8"/>
    </row>
    <row r="560" spans="2:2" ht="27" hidden="1" customHeight="1" x14ac:dyDescent="0.3">
      <c r="B560" s="8"/>
    </row>
  </sheetData>
  <mergeCells count="28">
    <mergeCell ref="A3:B3"/>
    <mergeCell ref="A2:B2"/>
    <mergeCell ref="A1:B1"/>
    <mergeCell ref="C1:H1"/>
    <mergeCell ref="C2:H2"/>
    <mergeCell ref="C3:H3"/>
    <mergeCell ref="E34:G34"/>
    <mergeCell ref="F7:G7"/>
    <mergeCell ref="E8:G8"/>
    <mergeCell ref="F12:G12"/>
    <mergeCell ref="E13:G13"/>
    <mergeCell ref="F17:G17"/>
    <mergeCell ref="E18:G18"/>
    <mergeCell ref="F22:G22"/>
    <mergeCell ref="E23:G23"/>
    <mergeCell ref="F28:G28"/>
    <mergeCell ref="E29:G29"/>
    <mergeCell ref="F33:G33"/>
    <mergeCell ref="E55:G55"/>
    <mergeCell ref="F59:G59"/>
    <mergeCell ref="E60:G60"/>
    <mergeCell ref="F38:G38"/>
    <mergeCell ref="E39:G39"/>
    <mergeCell ref="E44:G44"/>
    <mergeCell ref="F49:G49"/>
    <mergeCell ref="E50:G50"/>
    <mergeCell ref="F54:G54"/>
    <mergeCell ref="F43:G43"/>
  </mergeCells>
  <dataValidations count="4">
    <dataValidation type="list" allowBlank="1" showInputMessage="1" showErrorMessage="1" sqref="J45" xr:uid="{3E520284-5F4B-44BE-989F-A6FB0E2B5A6F}">
      <formula1>"Through Rate,Material Rate,Labour Rate"</formula1>
    </dataValidation>
    <dataValidation type="list" allowBlank="1" showInputMessage="1" showErrorMessage="1" sqref="J60 J55 J44 J29 J23 J18 J13" xr:uid="{BF5C55BF-2D87-44A0-8C6B-379BD67EBE98}">
      <formula1>"Through Rate 01.04.23,Material Rate 01.04.23,Labour Rate 01.04.23"</formula1>
    </dataValidation>
    <dataValidation type="list" allowBlank="1" showInputMessage="1" showErrorMessage="1" sqref="J39 J34" xr:uid="{928D9472-083A-4292-A6CA-BB7702B80695}">
      <formula1>"Through Rate 13.06.24,Through Rate 01.04.23,Material Rate 13.06.24,Material Rate 01.04.23,Labour Rate 13.06.24,Labour Rate 01.04.23"</formula1>
    </dataValidation>
    <dataValidation type="list" allowBlank="1" showInputMessage="1" showErrorMessage="1" sqref="J8" xr:uid="{3A78E3B3-FB16-4D66-93B4-61296DF99A4F}">
      <formula1>"Through Rate 01.04.23,Labour Rate 01.04.23,Machinery Rate 01.04.23"</formula1>
    </dataValidation>
  </dataValidations>
  <pageMargins left="0.7" right="0.7" top="0.75" bottom="0.75" header="0.3" footer="0.3"/>
  <pageSetup paperSize="9" scale="41"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RCC 6.05 mtr.  (2)</vt:lpstr>
      <vt:lpstr>'RCC 6.05 mtr.  (2)'!Print_Area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Naveen Kumar</dc:creator>
  <cp:lastModifiedBy>GarG BroThers</cp:lastModifiedBy>
  <dcterms:created xsi:type="dcterms:W3CDTF">2026-08-20T18:39:19Z</dcterms:created>
  <dcterms:modified xsi:type="dcterms:W3CDTF">2026-08-28T21:25:11Z</dcterms:modified>
</cp:coreProperties>
</file>