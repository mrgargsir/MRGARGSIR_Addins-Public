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A18211C2-9ED5-4E89-9A90-677369C99F25}" xr6:coauthVersionLast="47" xr6:coauthVersionMax="47" xr10:uidLastSave="{00000000-0000-0000-0000-000000000000}"/>
  <bookViews>
    <workbookView xWindow="-120" yWindow="-120" windowWidth="29040" windowHeight="15840" xr2:uid="{33EE3BB2-521C-4319-AFA6-F4186C9AE4EE}"/>
  </bookViews>
  <sheets>
    <sheet name="Iron shed40x50 " sheetId="2"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5" i="2" l="1"/>
  <c r="K84" i="2"/>
  <c r="H83" i="2"/>
  <c r="H82" i="2"/>
  <c r="H81" i="2"/>
  <c r="H84" i="2" s="1"/>
  <c r="H85" i="2" s="1"/>
  <c r="L85" i="2" s="1"/>
  <c r="K78" i="2"/>
  <c r="K77" i="2"/>
  <c r="H73" i="2"/>
  <c r="H72" i="2"/>
  <c r="H74" i="2" s="1"/>
  <c r="H75" i="2" s="1"/>
  <c r="H76" i="2" s="1"/>
  <c r="H67" i="2"/>
  <c r="H68" i="2" s="1"/>
  <c r="H69" i="2" s="1"/>
  <c r="H70" i="2" s="1"/>
  <c r="H66" i="2"/>
  <c r="H62" i="2"/>
  <c r="H63" i="2" s="1"/>
  <c r="H64" i="2" s="1"/>
  <c r="H61" i="2"/>
  <c r="H60" i="2"/>
  <c r="H55" i="2"/>
  <c r="H56" i="2" s="1"/>
  <c r="H57" i="2" s="1"/>
  <c r="H58" i="2" s="1"/>
  <c r="K51" i="2"/>
  <c r="K50" i="2"/>
  <c r="H46" i="2"/>
  <c r="H45" i="2"/>
  <c r="H47" i="2" s="1"/>
  <c r="H48" i="2" s="1"/>
  <c r="H49" i="2" s="1"/>
  <c r="H39" i="2"/>
  <c r="H40" i="2" s="1"/>
  <c r="H41" i="2" s="1"/>
  <c r="H42" i="2" s="1"/>
  <c r="H51" i="2" s="1"/>
  <c r="L51" i="2" s="1"/>
  <c r="K35" i="2"/>
  <c r="K34" i="2"/>
  <c r="H33" i="2"/>
  <c r="H34" i="2" s="1"/>
  <c r="H35" i="2" s="1"/>
  <c r="L35" i="2" s="1"/>
  <c r="K30" i="2"/>
  <c r="K29" i="2"/>
  <c r="H25" i="2"/>
  <c r="H26" i="2" s="1"/>
  <c r="H27" i="2" s="1"/>
  <c r="H28" i="2" s="1"/>
  <c r="E25" i="2"/>
  <c r="D25" i="2"/>
  <c r="H21" i="2"/>
  <c r="H22" i="2" s="1"/>
  <c r="H20" i="2"/>
  <c r="H19" i="2"/>
  <c r="K14" i="2"/>
  <c r="K13" i="2"/>
  <c r="H13" i="2"/>
  <c r="H14" i="2" s="1"/>
  <c r="L14" i="2" s="1"/>
  <c r="H12" i="2"/>
  <c r="K9" i="2"/>
  <c r="K8" i="2"/>
  <c r="H7" i="2"/>
  <c r="H8" i="2" s="1"/>
  <c r="H9" i="2" s="1"/>
  <c r="L9" i="2" s="1"/>
  <c r="A6" i="2"/>
  <c r="A11" i="2" s="1"/>
  <c r="A16" i="2" l="1"/>
  <c r="A32" i="2" s="1"/>
  <c r="H78" i="2"/>
  <c r="L78" i="2" s="1"/>
  <c r="H30" i="2"/>
  <c r="L30" i="2" s="1"/>
  <c r="L87" i="2" s="1"/>
  <c r="L88" i="2" l="1"/>
  <c r="L89" i="2" s="1"/>
  <c r="A37" i="2"/>
  <c r="A53" i="2" s="1"/>
  <c r="A80" i="2" s="1"/>
  <c r="L90" i="2" l="1"/>
  <c r="L91" i="2" s="1"/>
  <c r="J92" i="2" s="1"/>
</calcChain>
</file>

<file path=xl/sharedStrings.xml><?xml version="1.0" encoding="utf-8"?>
<sst xmlns="http://schemas.openxmlformats.org/spreadsheetml/2006/main" count="160" uniqueCount="84">
  <si>
    <t>Iron Shed 40'x50'</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</si>
  <si>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</si>
  <si>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</si>
  <si>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</si>
  <si>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</si>
  <si>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</si>
  <si>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</si>
  <si>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</si>
  <si>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</si>
  <si>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</si>
  <si>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</si>
  <si>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</si>
  <si>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</si>
  <si>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</si>
  <si>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(4.14.1) All kinds of soil.</t>
    </r>
  </si>
  <si>
    <t>Columns</t>
  </si>
  <si>
    <t>cft</t>
  </si>
  <si>
    <t>Total (cft)</t>
  </si>
  <si>
    <t>Total (cum)</t>
  </si>
  <si>
    <t>cum</t>
  </si>
  <si>
    <t>Through Rate</t>
  </si>
  <si>
    <t>6.1.6</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</si>
  <si>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(6.1.6) 1:4:8 (1 Cement : 4 coarse sand (zone-III) : 8 graded stone aggregate 40 mm nominal size)</t>
    </r>
  </si>
  <si>
    <t>6.33.6</t>
  </si>
  <si>
    <r>
      <t xml:space="preserve">(6.33) Steel reinforcement for R.C.C. work, where not included in the complete rate of RCC, including straightening, cutting, bending, placing in position, binding, wastage, overlaps, welded joints, spacer bars, chairs, stays, hangers and annealed steel wire etc. complete in all respect for all heights/depths/storeys/basements etc. complete in all respect below plinth level.  Note: - Reinforcement shall be measured in length including hooks, if any, separately for different diameters as actually used in work, excluding overlaps. Wastage, overlaps, couplings, welded joints, spacer bars, chairs, stays, hangers and annealed steel wire or other methods of binding and placing shall not be measured and cost of these items shall be deemed to be included in the rates for reinforcement.
</t>
    </r>
    <r>
      <rPr>
        <b/>
        <i/>
        <sz val="9"/>
        <color rgb="FF8B0000"/>
        <rFont val="Times New Roman"/>
        <family val="1"/>
      </rPr>
      <t>(6.33.6) Thermo-Mechanically Treated bars of grade Fe-500D or more.</t>
    </r>
  </si>
  <si>
    <t xml:space="preserve"> Thermo-Mechanically Treated bars of grade Fe-500D kg or more.</t>
  </si>
  <si>
    <t>12mm dia</t>
  </si>
  <si>
    <t>rft</t>
  </si>
  <si>
    <t>Total (rft)</t>
  </si>
  <si>
    <t>Total (m)</t>
  </si>
  <si>
    <t>m</t>
  </si>
  <si>
    <t>Total (Weight of ⌀12mm Rebar)</t>
  </si>
  <si>
    <t>Kg</t>
  </si>
  <si>
    <t>A</t>
  </si>
  <si>
    <t>8mm dia</t>
  </si>
  <si>
    <t>Ring (15*15)</t>
  </si>
  <si>
    <t>Total (Weight of ⌀8mm Rebar)</t>
  </si>
  <si>
    <t>B</t>
  </si>
  <si>
    <t>Total A + B</t>
  </si>
  <si>
    <t>Through rates Amnd</t>
  </si>
  <si>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</si>
  <si>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(6.14.1) 1:1.5:3 (1 cement : 1.5 coarse sand (zone-III): 3 graded stone aggregate 20 mm nominal size)</t>
    </r>
  </si>
  <si>
    <t>Column</t>
  </si>
  <si>
    <t>13.31</t>
  </si>
  <si>
    <t>(13.31) Steel and Iron Work SIGLE/BUILT-UP STEEL/TUBULAR SECTIONS Providing and fixing mild steel round holding down bolts with nuts and washer plates complete.</t>
  </si>
  <si>
    <t>Bolt</t>
  </si>
  <si>
    <t>25mm dia</t>
  </si>
  <si>
    <t>mtr</t>
  </si>
  <si>
    <t>Total (mtr)</t>
  </si>
  <si>
    <t>Total (Weight of ⌀25mm Rebar)</t>
  </si>
  <si>
    <t>MS plate 12mm thickness</t>
  </si>
  <si>
    <t>take 32.4kg per meter</t>
  </si>
  <si>
    <t>sft</t>
  </si>
  <si>
    <t>Total (sft)</t>
  </si>
  <si>
    <t>Total (sqm)</t>
  </si>
  <si>
    <t>sqm</t>
  </si>
  <si>
    <t>Total (Weight for 32.4 Kg per Meter)</t>
  </si>
  <si>
    <t>13.30.1</t>
  </si>
  <si>
    <r>
      <t xml:space="preserve">(13.30) Steel and Iron Work SIGLE/BUILT-UP STEEL/TUBULAR SECTIONS Steel work in built up tubular (round, square or rectangular hollow tubes etc.) trusses etc., including cutting, hoisting, fixing in position and applying a priming coat of approved steel primer, including welding and bolted with special shaped washers etc. complete.
</t>
    </r>
    <r>
      <rPr>
        <b/>
        <i/>
        <sz val="9"/>
        <color rgb="FF8B0000"/>
        <rFont val="Times New Roman"/>
        <family val="1"/>
      </rPr>
      <t>(13.30.1) Hot finished welded type tubes</t>
    </r>
  </si>
  <si>
    <t>150MM SQAURE  PIPE 4mm thick</t>
  </si>
  <si>
    <t>Take 18.361kg per meter</t>
  </si>
  <si>
    <t>Total (Weight for 18.361 Kg per Meter)</t>
  </si>
  <si>
    <t>truss using pipe 100*50*3mm</t>
  </si>
  <si>
    <t>Take 6.8kg per meter</t>
  </si>
  <si>
    <t>Total (Weight for 6.8 Kg per Meter)</t>
  </si>
  <si>
    <t>40*40*3mm</t>
  </si>
  <si>
    <t>Take 3.494kg per meter</t>
  </si>
  <si>
    <t>Total (Weight for 3.494 Kg per Meter)</t>
  </si>
  <si>
    <t>C</t>
  </si>
  <si>
    <t>Purlin 75*40*2mm</t>
  </si>
  <si>
    <t>D</t>
  </si>
  <si>
    <t>Total A + B + C + D</t>
  </si>
  <si>
    <t>9.33</t>
  </si>
  <si>
    <t>(9.33) Hoisting and Roofing SHEET ROOFING Providing and fixing precoated galvanised iron profile sheets (size, shape and pitch of corrugation as approved by Engineer-in-charge) 0.50 mm ( plus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 to 12 metre or as desired by Engineer-in-charge. The sheet shall be fixed using self drilling /self tapping screws of size (5.5x 55 mm) with EPDM seal, complete up to any pitch in horizontal/ vertical or curved surfaces, excluding the cost of purlins, rafters and trusses and including cutting to size and shape wherever required.</t>
  </si>
  <si>
    <t>top</t>
  </si>
  <si>
    <t>side</t>
  </si>
  <si>
    <t>End</t>
  </si>
  <si>
    <t>Sqm</t>
  </si>
  <si>
    <t>Total</t>
  </si>
  <si>
    <t>Add 18% GST</t>
  </si>
  <si>
    <t>Total Amount</t>
  </si>
  <si>
    <t>Add 1% Contigency</t>
  </si>
  <si>
    <t>GRAND TOTAL</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</si>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</sst>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quot;&quot;"/>
    <numFmt numFmtId="166" formatCode="_(* #,##0_);_(* \(#,##0\);_(* &quot;-&quot;??_);_(@_)"/>
    <numFmt numFmtId="167" formatCode="#,##0.000"/>
  </numFmts>
  <fonts count="17" x14ac:knownFonts="1">
    <font>
      <sz val="11"/>
      <color theme="1"/>
      <name val="Calibri"/>
      <family val="2"/>
      <scheme val="minor"/>
    </font>
    <font>
      <b/>
      <sz val="11"/>
      <color theme="1"/>
      <name val="Calibri"/>
      <family val="2"/>
      <scheme val="minor"/>
    </font>
    <font>
      <b/>
      <sz val="22"/>
      <name val="Times New Roman"/>
      <family val="1"/>
    </font>
    <font>
      <sz val="12"/>
      <name val="Times New Roman"/>
      <family val="1"/>
    </font>
    <font>
      <b/>
      <sz val="14"/>
      <name val="Times New Roman"/>
      <family val="1"/>
    </font>
    <font>
      <b/>
      <sz val="12"/>
      <name val="Times New Roman"/>
      <family val="1"/>
    </font>
    <font>
      <b/>
      <i/>
      <sz val="10"/>
      <color rgb="FF006400"/>
      <name val="Times New Roman"/>
      <family val="1"/>
    </font>
    <font>
      <b/>
      <i/>
      <sz val="9"/>
      <color rgb="FF8B0000"/>
      <name val="Times New Roman"/>
      <family val="1"/>
    </font>
    <font>
      <b/>
      <i/>
      <sz val="12"/>
      <color rgb="FFFF0000"/>
      <name val="Times New Roman"/>
      <family val="1"/>
    </font>
    <font>
      <b/>
      <sz val="12"/>
      <color rgb="FF00B050"/>
      <name val="Times New Roman"/>
      <family val="1"/>
    </font>
    <font>
      <b/>
      <sz val="12"/>
      <color rgb="FFFF0000"/>
      <name val="Times New Roman"/>
      <family val="1"/>
    </font>
    <font>
      <b/>
      <sz val="12"/>
      <color theme="1"/>
      <name val="Times New Roman"/>
      <family val="1"/>
    </font>
    <font>
      <b/>
      <sz val="12"/>
      <color rgb="FF7030A0"/>
      <name val="Times New Roman"/>
      <family val="1"/>
    </font>
    <font>
      <b/>
      <sz val="11"/>
      <color rgb="FF000000"/>
      <name val="Times New Roman"/>
      <family val="1"/>
    </font>
    <font>
      <b/>
      <sz val="11"/>
      <color rgb="FF000000"/>
      <name val="Calibri"/>
      <family val="2"/>
      <scheme val="minor"/>
    </font>
    <font>
      <b/>
      <i/>
      <sz val="14"/>
      <color rgb="FF000000"/>
      <name val="Times New Roman"/>
      <family val="1"/>
    </font>
    <font>
      <sz val="11"/>
      <color theme="1"/>
      <name val="Times New Roman"/>
      <family val="1"/>
    </font>
  </fonts>
  <fills count="10">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E699"/>
        <bgColor indexed="64"/>
      </patternFill>
    </fill>
    <fill>
      <patternFill patternType="solid">
        <fgColor rgb="FFFFFF99"/>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top/>
      <bottom style="thick">
        <color auto="1"/>
      </bottom>
      <diagonal/>
    </border>
    <border>
      <left/>
      <right style="thin">
        <color indexed="64"/>
      </right>
      <top/>
      <bottom style="thick">
        <color indexed="64"/>
      </bottom>
      <diagonal/>
    </border>
    <border>
      <left style="thick">
        <color auto="1"/>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auto="1"/>
      </right>
      <top style="thick">
        <color indexed="64"/>
      </top>
      <bottom style="thin">
        <color indexed="64"/>
      </bottom>
      <diagonal/>
    </border>
    <border>
      <left style="thick">
        <color auto="1"/>
      </left>
      <right/>
      <top style="thin">
        <color indexed="64"/>
      </top>
      <bottom style="thin">
        <color indexed="64"/>
      </bottom>
      <diagonal/>
    </border>
    <border>
      <left/>
      <right/>
      <top style="thin">
        <color indexed="64"/>
      </top>
      <bottom style="thin">
        <color indexed="64"/>
      </bottom>
      <diagonal/>
    </border>
    <border>
      <left/>
      <right style="thick">
        <color auto="1"/>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ck">
        <color auto="1"/>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152">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Protection="1">
      <protection locked="0"/>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4" fillId="0" borderId="9" xfId="0" applyFont="1" applyBorder="1" applyAlignment="1">
      <alignment horizontal="center" vertical="center" wrapText="1"/>
    </xf>
    <xf numFmtId="49" fontId="4" fillId="0" borderId="10" xfId="0" applyNumberFormat="1" applyFont="1" applyBorder="1" applyAlignment="1">
      <alignment horizontal="center" vertical="center" wrapText="1"/>
    </xf>
    <xf numFmtId="0" fontId="4" fillId="0" borderId="10" xfId="0" applyFont="1" applyBorder="1" applyAlignment="1">
      <alignment horizontal="center" vertical="center" wrapText="1"/>
    </xf>
    <xf numFmtId="2" fontId="4" fillId="0" borderId="10" xfId="0" applyNumberFormat="1" applyFont="1" applyBorder="1" applyAlignment="1">
      <alignment horizontal="center" vertical="center" wrapText="1"/>
    </xf>
    <xf numFmtId="1" fontId="4" fillId="0" borderId="10" xfId="0" applyNumberFormat="1" applyFont="1" applyBorder="1" applyAlignment="1">
      <alignment horizontal="center" vertical="center" wrapText="1"/>
    </xf>
    <xf numFmtId="1" fontId="4" fillId="0" borderId="11" xfId="0" applyNumberFormat="1" applyFont="1" applyBorder="1" applyAlignment="1">
      <alignment horizontal="center" vertical="center" wrapText="1"/>
    </xf>
    <xf numFmtId="0" fontId="4" fillId="0" borderId="0" xfId="0" applyFont="1" applyProtection="1">
      <protection locked="0"/>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2" fontId="4" fillId="0" borderId="13" xfId="0" applyNumberFormat="1" applyFont="1" applyBorder="1" applyAlignment="1">
      <alignment horizontal="center" vertical="center" wrapText="1"/>
    </xf>
    <xf numFmtId="2" fontId="4" fillId="2" borderId="13" xfId="0" applyNumberFormat="1" applyFont="1" applyFill="1" applyBorder="1" applyAlignment="1">
      <alignment horizontal="right" vertical="center" wrapText="1"/>
    </xf>
    <xf numFmtId="0" fontId="4" fillId="0" borderId="13" xfId="0" applyFont="1" applyBorder="1" applyAlignment="1">
      <alignment horizontal="left" vertical="center" wrapText="1"/>
    </xf>
    <xf numFmtId="0" fontId="4" fillId="3" borderId="13" xfId="0" applyFont="1" applyFill="1" applyBorder="1" applyAlignment="1">
      <alignment horizontal="center" vertical="center" wrapText="1"/>
    </xf>
    <xf numFmtId="1" fontId="4" fillId="4" borderId="13" xfId="0" applyNumberFormat="1" applyFont="1" applyFill="1" applyBorder="1" applyAlignment="1">
      <alignment horizontal="right" vertical="center" wrapText="1"/>
    </xf>
    <xf numFmtId="1" fontId="4" fillId="0" borderId="14" xfId="0" applyNumberFormat="1" applyFont="1" applyBorder="1" applyAlignment="1">
      <alignment horizontal="center" vertical="center" wrapText="1"/>
    </xf>
    <xf numFmtId="1"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wrapText="1"/>
    </xf>
    <xf numFmtId="0" fontId="6" fillId="0" borderId="16" xfId="0" applyFont="1" applyBorder="1" applyAlignment="1">
      <alignment vertical="center" wrapText="1"/>
    </xf>
    <xf numFmtId="0" fontId="3" fillId="0" borderId="17"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2" fontId="3" fillId="0" borderId="13" xfId="0" applyNumberFormat="1" applyFont="1" applyBorder="1" applyAlignment="1" applyProtection="1">
      <alignment horizontal="center" vertical="center"/>
      <protection locked="0"/>
    </xf>
    <xf numFmtId="2" fontId="3" fillId="2" borderId="13" xfId="0" applyNumberFormat="1" applyFont="1" applyFill="1" applyBorder="1" applyAlignment="1" applyProtection="1">
      <alignment horizontal="right" vertical="center"/>
      <protection locked="0"/>
    </xf>
    <xf numFmtId="0" fontId="5" fillId="0" borderId="13" xfId="0" applyFont="1" applyBorder="1" applyAlignment="1" applyProtection="1">
      <alignment horizontal="left" vertical="center"/>
      <protection locked="0"/>
    </xf>
    <xf numFmtId="0" fontId="3" fillId="3" borderId="13" xfId="0" applyFont="1" applyFill="1" applyBorder="1" applyAlignment="1" applyProtection="1">
      <alignment horizontal="center" vertical="center" wrapText="1"/>
      <protection locked="0"/>
    </xf>
    <xf numFmtId="1" fontId="5" fillId="4" borderId="13" xfId="0" applyNumberFormat="1" applyFont="1" applyFill="1" applyBorder="1" applyAlignment="1" applyProtection="1">
      <alignment horizontal="right" vertical="center"/>
      <protection locked="0"/>
    </xf>
    <xf numFmtId="1" fontId="5" fillId="0" borderId="14" xfId="0" applyNumberFormat="1" applyFont="1" applyBorder="1" applyAlignment="1" applyProtection="1">
      <alignment horizontal="center" vertical="center"/>
      <protection locked="0"/>
    </xf>
    <xf numFmtId="0" fontId="5" fillId="0" borderId="16" xfId="0" applyFont="1" applyBorder="1" applyAlignment="1">
      <alignment horizontal="center" vertical="center"/>
    </xf>
    <xf numFmtId="0" fontId="3" fillId="0" borderId="16" xfId="0" applyFont="1" applyBorder="1" applyAlignment="1">
      <alignment vertical="center"/>
    </xf>
    <xf numFmtId="0" fontId="3" fillId="0" borderId="16" xfId="0" applyFont="1" applyBorder="1" applyAlignment="1" applyProtection="1">
      <alignment horizontal="center" vertical="center"/>
      <protection locked="0"/>
    </xf>
    <xf numFmtId="2" fontId="3" fillId="0" borderId="16" xfId="0" applyNumberFormat="1" applyFont="1" applyBorder="1" applyAlignment="1" applyProtection="1">
      <alignment horizontal="center" vertical="center"/>
      <protection locked="0"/>
    </xf>
    <xf numFmtId="164" fontId="3" fillId="2" borderId="16" xfId="0" applyNumberFormat="1" applyFont="1" applyFill="1" applyBorder="1" applyAlignment="1">
      <alignment horizontal="right" vertical="center"/>
    </xf>
    <xf numFmtId="0" fontId="5" fillId="0" borderId="16" xfId="0" applyFont="1" applyBorder="1" applyAlignment="1" applyProtection="1">
      <alignment horizontal="left" vertical="center"/>
      <protection locked="0"/>
    </xf>
    <xf numFmtId="0" fontId="3" fillId="3" borderId="16" xfId="0" applyFont="1" applyFill="1" applyBorder="1" applyAlignment="1" applyProtection="1">
      <alignment horizontal="center" vertical="center" wrapText="1"/>
      <protection locked="0"/>
    </xf>
    <xf numFmtId="1" fontId="5" fillId="4" borderId="16" xfId="0" applyNumberFormat="1" applyFont="1" applyFill="1" applyBorder="1" applyAlignment="1" applyProtection="1">
      <alignment horizontal="right" vertical="center"/>
      <protection locked="0"/>
    </xf>
    <xf numFmtId="1" fontId="5" fillId="0" borderId="18" xfId="0" applyNumberFormat="1" applyFont="1" applyBorder="1" applyAlignment="1" applyProtection="1">
      <alignment horizontal="center" vertical="center"/>
      <protection locked="0"/>
    </xf>
    <xf numFmtId="1" fontId="5" fillId="5" borderId="15" xfId="0" applyNumberFormat="1" applyFont="1" applyFill="1" applyBorder="1" applyAlignment="1">
      <alignment horizontal="center" vertical="center"/>
    </xf>
    <xf numFmtId="0" fontId="5" fillId="5" borderId="16" xfId="0" applyFont="1" applyFill="1" applyBorder="1" applyAlignment="1">
      <alignment horizontal="center" vertical="center"/>
    </xf>
    <xf numFmtId="0" fontId="5" fillId="5" borderId="16" xfId="0" applyFont="1" applyFill="1" applyBorder="1" applyAlignment="1">
      <alignment vertical="center"/>
    </xf>
    <xf numFmtId="0" fontId="5" fillId="5" borderId="16" xfId="0" applyFont="1" applyFill="1" applyBorder="1" applyAlignment="1" applyProtection="1">
      <alignment horizontal="center" vertical="center"/>
      <protection locked="0"/>
    </xf>
    <xf numFmtId="2" fontId="5" fillId="5" borderId="16" xfId="0" applyNumberFormat="1" applyFont="1" applyFill="1" applyBorder="1" applyAlignment="1">
      <alignment horizontal="center" vertical="center"/>
    </xf>
    <xf numFmtId="2" fontId="5" fillId="2" borderId="16" xfId="0" applyNumberFormat="1" applyFont="1" applyFill="1" applyBorder="1" applyAlignment="1">
      <alignment horizontal="right" vertical="center"/>
    </xf>
    <xf numFmtId="0" fontId="5" fillId="5" borderId="16" xfId="0" applyFont="1" applyFill="1" applyBorder="1" applyAlignment="1" applyProtection="1">
      <alignment horizontal="left" vertical="center"/>
      <protection locked="0"/>
    </xf>
    <xf numFmtId="0" fontId="5" fillId="3" borderId="16" xfId="0" applyFont="1" applyFill="1" applyBorder="1" applyAlignment="1" applyProtection="1">
      <alignment horizontal="center" vertical="center" wrapText="1"/>
      <protection locked="0"/>
    </xf>
    <xf numFmtId="165" fontId="5" fillId="4" borderId="16" xfId="0" applyNumberFormat="1" applyFont="1" applyFill="1" applyBorder="1" applyAlignment="1">
      <alignment horizontal="right" vertical="center"/>
    </xf>
    <xf numFmtId="1" fontId="5" fillId="5" borderId="18" xfId="0" applyNumberFormat="1" applyFont="1" applyFill="1" applyBorder="1" applyAlignment="1" applyProtection="1">
      <alignment horizontal="center" vertical="center"/>
      <protection locked="0"/>
    </xf>
    <xf numFmtId="0" fontId="3" fillId="0" borderId="0" xfId="0" applyFont="1" applyAlignment="1" applyProtection="1">
      <alignment horizontal="center"/>
      <protection locked="0"/>
    </xf>
    <xf numFmtId="1" fontId="5" fillId="6" borderId="15" xfId="0" applyNumberFormat="1" applyFont="1" applyFill="1" applyBorder="1" applyAlignment="1">
      <alignment horizontal="center" vertical="center"/>
    </xf>
    <xf numFmtId="0" fontId="5" fillId="6" borderId="16" xfId="0" applyFont="1" applyFill="1" applyBorder="1" applyAlignment="1">
      <alignment horizontal="center" vertical="center"/>
    </xf>
    <xf numFmtId="0" fontId="5" fillId="6" borderId="16" xfId="0" applyFont="1" applyFill="1" applyBorder="1" applyAlignment="1">
      <alignment vertical="center"/>
    </xf>
    <xf numFmtId="0" fontId="5" fillId="6" borderId="16" xfId="0" applyFont="1" applyFill="1" applyBorder="1" applyAlignment="1" applyProtection="1">
      <alignment horizontal="center" vertical="center"/>
      <protection locked="0"/>
    </xf>
    <xf numFmtId="0" fontId="5" fillId="6" borderId="16" xfId="0" applyFont="1" applyFill="1" applyBorder="1" applyAlignment="1">
      <alignment horizontal="center" vertical="center"/>
    </xf>
    <xf numFmtId="164" fontId="5" fillId="2" borderId="16" xfId="0" applyNumberFormat="1" applyFont="1" applyFill="1" applyBorder="1" applyAlignment="1">
      <alignment horizontal="right" vertical="center"/>
    </xf>
    <xf numFmtId="0" fontId="5" fillId="6" borderId="16" xfId="0" applyFont="1" applyFill="1" applyBorder="1" applyAlignment="1" applyProtection="1">
      <alignment horizontal="left" vertical="center"/>
      <protection locked="0"/>
    </xf>
    <xf numFmtId="1" fontId="5" fillId="4" borderId="16" xfId="0" applyNumberFormat="1" applyFont="1" applyFill="1" applyBorder="1" applyAlignment="1">
      <alignment horizontal="right" vertical="center"/>
    </xf>
    <xf numFmtId="166" fontId="5" fillId="6" borderId="18" xfId="0" applyNumberFormat="1" applyFont="1" applyFill="1" applyBorder="1" applyAlignment="1">
      <alignment horizontal="center" vertical="center"/>
    </xf>
    <xf numFmtId="1" fontId="5" fillId="7" borderId="12" xfId="0" applyNumberFormat="1" applyFont="1" applyFill="1" applyBorder="1" applyAlignment="1">
      <alignment horizontal="center" vertical="center"/>
    </xf>
    <xf numFmtId="0" fontId="5" fillId="7" borderId="13" xfId="0" applyFont="1" applyFill="1" applyBorder="1" applyAlignment="1">
      <alignment horizontal="center" vertical="center"/>
    </xf>
    <xf numFmtId="0" fontId="3" fillId="7" borderId="13" xfId="0" applyFont="1" applyFill="1" applyBorder="1" applyAlignment="1">
      <alignment vertical="center"/>
    </xf>
    <xf numFmtId="0" fontId="3" fillId="7" borderId="13" xfId="0" applyFont="1" applyFill="1" applyBorder="1" applyAlignment="1" applyProtection="1">
      <alignment horizontal="center" vertical="center"/>
      <protection locked="0"/>
    </xf>
    <xf numFmtId="2" fontId="3" fillId="7" borderId="13" xfId="0" applyNumberFormat="1" applyFont="1" applyFill="1" applyBorder="1" applyAlignment="1" applyProtection="1">
      <alignment horizontal="center" vertical="center"/>
      <protection locked="0"/>
    </xf>
    <xf numFmtId="0" fontId="5" fillId="7" borderId="13" xfId="0" applyFont="1" applyFill="1" applyBorder="1" applyAlignment="1" applyProtection="1">
      <alignment horizontal="left" vertical="center"/>
      <protection locked="0"/>
    </xf>
    <xf numFmtId="1" fontId="5" fillId="7" borderId="14" xfId="0" applyNumberFormat="1" applyFont="1" applyFill="1" applyBorder="1" applyAlignment="1" applyProtection="1">
      <alignment horizontal="center" vertical="center"/>
      <protection locked="0"/>
    </xf>
    <xf numFmtId="49" fontId="5" fillId="0" borderId="16" xfId="0" applyNumberFormat="1" applyFont="1" applyBorder="1" applyAlignment="1">
      <alignment horizontal="center" vertical="center"/>
    </xf>
    <xf numFmtId="0" fontId="3" fillId="0" borderId="16" xfId="0" applyFont="1" applyBorder="1" applyAlignment="1">
      <alignment vertical="center" wrapText="1"/>
    </xf>
    <xf numFmtId="2" fontId="3" fillId="2" borderId="16" xfId="0" applyNumberFormat="1" applyFont="1" applyFill="1" applyBorder="1" applyAlignment="1" applyProtection="1">
      <alignment horizontal="right" vertical="center"/>
      <protection locked="0"/>
    </xf>
    <xf numFmtId="0" fontId="8" fillId="0" borderId="16" xfId="0" applyFont="1" applyBorder="1" applyAlignment="1">
      <alignment vertical="center"/>
    </xf>
    <xf numFmtId="1" fontId="5" fillId="6" borderId="18" xfId="0" applyNumberFormat="1" applyFont="1" applyFill="1" applyBorder="1" applyAlignment="1" applyProtection="1">
      <alignment horizontal="center" vertical="center"/>
      <protection locked="0"/>
    </xf>
    <xf numFmtId="1" fontId="5" fillId="8" borderId="15" xfId="0" applyNumberFormat="1" applyFont="1" applyFill="1" applyBorder="1" applyAlignment="1">
      <alignment horizontal="center" vertical="center"/>
    </xf>
    <xf numFmtId="0" fontId="5" fillId="8" borderId="16" xfId="0" applyFont="1" applyFill="1" applyBorder="1" applyAlignment="1">
      <alignment horizontal="center" vertical="center"/>
    </xf>
    <xf numFmtId="0" fontId="5" fillId="8" borderId="16" xfId="0" applyFont="1" applyFill="1" applyBorder="1" applyAlignment="1">
      <alignment vertical="center"/>
    </xf>
    <xf numFmtId="0" fontId="5" fillId="8" borderId="16" xfId="0" applyFont="1" applyFill="1" applyBorder="1" applyAlignment="1" applyProtection="1">
      <alignment horizontal="center" vertical="center"/>
      <protection locked="0"/>
    </xf>
    <xf numFmtId="0" fontId="9" fillId="8" borderId="16" xfId="0" applyFont="1" applyFill="1" applyBorder="1" applyAlignment="1">
      <alignment horizontal="center" vertical="center" wrapText="1"/>
    </xf>
    <xf numFmtId="0" fontId="5" fillId="8" borderId="16" xfId="0" applyFont="1" applyFill="1" applyBorder="1" applyAlignment="1" applyProtection="1">
      <alignment horizontal="left" vertical="center"/>
      <protection locked="0"/>
    </xf>
    <xf numFmtId="0" fontId="10" fillId="3" borderId="16" xfId="0" applyFont="1" applyFill="1" applyBorder="1" applyAlignment="1" applyProtection="1">
      <alignment horizontal="center" vertical="center" wrapText="1"/>
      <protection locked="0"/>
    </xf>
    <xf numFmtId="1" fontId="5" fillId="8" borderId="18" xfId="0" applyNumberFormat="1" applyFont="1" applyFill="1" applyBorder="1" applyAlignment="1" applyProtection="1">
      <alignment horizontal="center" vertical="center"/>
      <protection locked="0"/>
    </xf>
    <xf numFmtId="1" fontId="11" fillId="7" borderId="15" xfId="0" applyNumberFormat="1" applyFont="1" applyFill="1" applyBorder="1" applyAlignment="1">
      <alignment horizontal="center" vertical="center"/>
    </xf>
    <xf numFmtId="0" fontId="1" fillId="7" borderId="16" xfId="0" applyFont="1" applyFill="1" applyBorder="1" applyAlignment="1">
      <alignment horizontal="center" vertical="center"/>
    </xf>
    <xf numFmtId="0" fontId="0" fillId="7" borderId="16" xfId="0" applyFill="1" applyBorder="1" applyAlignment="1">
      <alignment vertical="center"/>
    </xf>
    <xf numFmtId="0" fontId="0" fillId="7" borderId="16" xfId="0" applyFill="1" applyBorder="1" applyAlignment="1">
      <alignment horizontal="center" vertical="center"/>
    </xf>
    <xf numFmtId="0" fontId="0" fillId="2" borderId="16" xfId="0" applyFill="1" applyBorder="1" applyAlignment="1">
      <alignment horizontal="right" vertical="center"/>
    </xf>
    <xf numFmtId="0" fontId="1" fillId="7" borderId="16" xfId="0" applyFont="1" applyFill="1" applyBorder="1" applyAlignment="1">
      <alignment horizontal="left" vertical="center"/>
    </xf>
    <xf numFmtId="0" fontId="0" fillId="3" borderId="16" xfId="0" applyFill="1" applyBorder="1" applyAlignment="1">
      <alignment horizontal="center" vertical="center" wrapText="1"/>
    </xf>
    <xf numFmtId="165" fontId="1" fillId="4" borderId="16" xfId="0" applyNumberFormat="1" applyFont="1" applyFill="1" applyBorder="1" applyAlignment="1">
      <alignment horizontal="right" vertical="center"/>
    </xf>
    <xf numFmtId="0" fontId="1" fillId="7" borderId="18" xfId="0" applyFont="1" applyFill="1" applyBorder="1" applyAlignment="1">
      <alignment horizontal="center" vertical="center"/>
    </xf>
    <xf numFmtId="1" fontId="11" fillId="6" borderId="15" xfId="0" applyNumberFormat="1" applyFont="1" applyFill="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vertical="center"/>
    </xf>
    <xf numFmtId="0" fontId="10" fillId="6" borderId="16" xfId="0" applyFont="1" applyFill="1" applyBorder="1" applyAlignment="1">
      <alignment horizontal="center" vertical="center" wrapText="1"/>
    </xf>
    <xf numFmtId="167" fontId="1" fillId="2" borderId="16" xfId="0" applyNumberFormat="1" applyFont="1" applyFill="1" applyBorder="1" applyAlignment="1">
      <alignment horizontal="right" vertical="center"/>
    </xf>
    <xf numFmtId="0" fontId="1" fillId="6" borderId="16" xfId="0" applyFont="1" applyFill="1" applyBorder="1" applyAlignment="1">
      <alignment horizontal="left" vertical="center"/>
    </xf>
    <xf numFmtId="0" fontId="1" fillId="3" borderId="16" xfId="0" applyFont="1" applyFill="1" applyBorder="1" applyAlignment="1">
      <alignment horizontal="center" vertical="center" wrapText="1"/>
    </xf>
    <xf numFmtId="0" fontId="1" fillId="4" borderId="16" xfId="0" applyFont="1" applyFill="1" applyBorder="1" applyAlignment="1">
      <alignment horizontal="right" vertical="center"/>
    </xf>
    <xf numFmtId="166" fontId="1" fillId="6" borderId="18" xfId="0" applyNumberFormat="1" applyFont="1" applyFill="1" applyBorder="1" applyAlignment="1">
      <alignment horizontal="center" vertical="center"/>
    </xf>
    <xf numFmtId="1" fontId="11" fillId="7" borderId="12" xfId="0" applyNumberFormat="1" applyFont="1" applyFill="1" applyBorder="1" applyAlignment="1">
      <alignment horizontal="center" vertical="center"/>
    </xf>
    <xf numFmtId="0" fontId="1" fillId="7" borderId="13" xfId="0" applyFont="1" applyFill="1" applyBorder="1" applyAlignment="1">
      <alignment horizontal="center" vertical="center"/>
    </xf>
    <xf numFmtId="0" fontId="0" fillId="7" borderId="13" xfId="0" applyFill="1" applyBorder="1" applyAlignment="1">
      <alignment vertical="center"/>
    </xf>
    <xf numFmtId="0" fontId="0" fillId="7" borderId="13" xfId="0" applyFill="1" applyBorder="1" applyAlignment="1">
      <alignment horizontal="center" vertical="center"/>
    </xf>
    <xf numFmtId="0" fontId="0" fillId="2" borderId="13" xfId="0" applyFill="1" applyBorder="1" applyAlignment="1">
      <alignment horizontal="right" vertical="center"/>
    </xf>
    <xf numFmtId="0" fontId="1" fillId="7" borderId="13" xfId="0" applyFont="1" applyFill="1" applyBorder="1" applyAlignment="1">
      <alignment horizontal="left" vertical="center"/>
    </xf>
    <xf numFmtId="0" fontId="0" fillId="3" borderId="13" xfId="0" applyFill="1" applyBorder="1" applyAlignment="1">
      <alignment horizontal="center" vertical="center" wrapText="1"/>
    </xf>
    <xf numFmtId="0" fontId="0" fillId="4" borderId="13" xfId="0" applyFill="1" applyBorder="1" applyAlignment="1">
      <alignment horizontal="right" vertical="center"/>
    </xf>
    <xf numFmtId="0" fontId="1" fillId="7" borderId="14" xfId="0" applyFont="1" applyFill="1" applyBorder="1" applyAlignment="1">
      <alignment horizontal="center" vertical="center"/>
    </xf>
    <xf numFmtId="0" fontId="8" fillId="0" borderId="16" xfId="0" applyFont="1" applyBorder="1" applyAlignment="1">
      <alignment vertical="center" wrapText="1"/>
    </xf>
    <xf numFmtId="0" fontId="5" fillId="5" borderId="16" xfId="0" applyFont="1" applyFill="1" applyBorder="1" applyAlignment="1">
      <alignment vertical="center" wrapText="1"/>
    </xf>
    <xf numFmtId="0" fontId="5" fillId="6" borderId="16" xfId="0" applyFont="1" applyFill="1" applyBorder="1" applyAlignment="1">
      <alignment vertical="center" wrapText="1"/>
    </xf>
    <xf numFmtId="0" fontId="5" fillId="8" borderId="16" xfId="0" applyFont="1" applyFill="1" applyBorder="1" applyAlignment="1">
      <alignment vertical="center" wrapText="1"/>
    </xf>
    <xf numFmtId="165" fontId="1" fillId="4" borderId="13" xfId="0" applyNumberFormat="1" applyFont="1" applyFill="1" applyBorder="1" applyAlignment="1">
      <alignment horizontal="right" vertical="center"/>
    </xf>
    <xf numFmtId="0" fontId="5" fillId="0" borderId="16" xfId="0" applyFont="1" applyBorder="1" applyAlignment="1">
      <alignment vertical="center" wrapText="1"/>
    </xf>
    <xf numFmtId="0" fontId="12" fillId="8" borderId="16" xfId="0" applyFont="1" applyFill="1" applyBorder="1" applyAlignment="1">
      <alignment horizontal="center" vertical="center" wrapText="1"/>
    </xf>
    <xf numFmtId="0" fontId="3" fillId="7" borderId="13" xfId="0" applyFont="1" applyFill="1" applyBorder="1" applyAlignment="1">
      <alignment vertical="center" wrapText="1"/>
    </xf>
    <xf numFmtId="0" fontId="3" fillId="0" borderId="0" xfId="0" applyFont="1" applyAlignment="1" applyProtection="1">
      <alignment vertical="center"/>
      <protection locked="0"/>
    </xf>
    <xf numFmtId="1" fontId="5" fillId="7" borderId="19" xfId="0" applyNumberFormat="1" applyFont="1" applyFill="1" applyBorder="1" applyAlignment="1">
      <alignment horizontal="center" vertical="center"/>
    </xf>
    <xf numFmtId="0" fontId="5" fillId="7" borderId="7" xfId="0" applyFont="1" applyFill="1" applyBorder="1" applyAlignment="1">
      <alignment horizontal="center" vertical="center"/>
    </xf>
    <xf numFmtId="0" fontId="3" fillId="7" borderId="7" xfId="0" applyFont="1" applyFill="1" applyBorder="1" applyAlignment="1">
      <alignment vertical="center"/>
    </xf>
    <xf numFmtId="0" fontId="3" fillId="7" borderId="7" xfId="0" applyFont="1" applyFill="1" applyBorder="1" applyAlignment="1" applyProtection="1">
      <alignment horizontal="center" vertical="center"/>
      <protection locked="0"/>
    </xf>
    <xf numFmtId="2" fontId="3" fillId="7" borderId="7" xfId="0" applyNumberFormat="1" applyFont="1" applyFill="1" applyBorder="1" applyAlignment="1" applyProtection="1">
      <alignment horizontal="center" vertical="center"/>
      <protection locked="0"/>
    </xf>
    <xf numFmtId="0" fontId="3" fillId="7" borderId="7" xfId="0" applyFont="1" applyFill="1" applyBorder="1" applyAlignment="1" applyProtection="1">
      <alignment horizontal="left" vertical="center"/>
      <protection locked="0"/>
    </xf>
    <xf numFmtId="0" fontId="3" fillId="7" borderId="7" xfId="0" applyFont="1" applyFill="1" applyBorder="1" applyAlignment="1" applyProtection="1">
      <alignment horizontal="center" vertical="center" wrapText="1"/>
      <protection locked="0"/>
    </xf>
    <xf numFmtId="1" fontId="3" fillId="7" borderId="7" xfId="0" applyNumberFormat="1" applyFont="1" applyFill="1" applyBorder="1" applyAlignment="1" applyProtection="1">
      <alignment horizontal="right" vertical="center"/>
      <protection locked="0"/>
    </xf>
    <xf numFmtId="1" fontId="5" fillId="7" borderId="20" xfId="0" applyNumberFormat="1"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13" fillId="9" borderId="21" xfId="0" applyFont="1" applyFill="1" applyBorder="1" applyAlignment="1">
      <alignment horizontal="centerContinuous" vertical="center"/>
    </xf>
    <xf numFmtId="0" fontId="14" fillId="9" borderId="22" xfId="0" applyFont="1" applyFill="1" applyBorder="1" applyAlignment="1">
      <alignment horizontal="centerContinuous"/>
    </xf>
    <xf numFmtId="166" fontId="14" fillId="9" borderId="23" xfId="0" applyNumberFormat="1" applyFont="1" applyFill="1" applyBorder="1" applyAlignment="1">
      <alignment horizontal="center" vertical="center"/>
    </xf>
    <xf numFmtId="0" fontId="13" fillId="9" borderId="12" xfId="0" applyFont="1" applyFill="1" applyBorder="1" applyAlignment="1">
      <alignment horizontal="centerContinuous" vertical="center"/>
    </xf>
    <xf numFmtId="0" fontId="14" fillId="9" borderId="13" xfId="0" applyFont="1" applyFill="1" applyBorder="1" applyAlignment="1">
      <alignment horizontal="centerContinuous"/>
    </xf>
    <xf numFmtId="166" fontId="14" fillId="9" borderId="14" xfId="0" applyNumberFormat="1" applyFont="1" applyFill="1" applyBorder="1" applyAlignment="1">
      <alignment horizontal="center" vertical="center"/>
    </xf>
    <xf numFmtId="0" fontId="13" fillId="9" borderId="24" xfId="0" applyFont="1" applyFill="1" applyBorder="1" applyAlignment="1">
      <alignment horizontal="centerContinuous" vertical="center"/>
    </xf>
    <xf numFmtId="0" fontId="14" fillId="9" borderId="25" xfId="0" applyFont="1" applyFill="1" applyBorder="1" applyAlignment="1">
      <alignment horizontal="centerContinuous"/>
    </xf>
    <xf numFmtId="166" fontId="14" fillId="9" borderId="26" xfId="0" applyNumberFormat="1" applyFont="1" applyFill="1" applyBorder="1" applyAlignment="1">
      <alignment horizontal="center" vertical="center"/>
    </xf>
    <xf numFmtId="0" fontId="15" fillId="0" borderId="0" xfId="0" applyFont="1" applyAlignment="1">
      <alignment horizontal="right" vertical="center" wrapText="1"/>
    </xf>
    <xf numFmtId="0" fontId="15" fillId="0" borderId="0" xfId="0" applyFont="1" applyAlignment="1">
      <alignment horizontal="centerContinuous" vertical="center" wrapText="1"/>
    </xf>
    <xf numFmtId="0" fontId="16" fillId="0" borderId="0" xfId="0" applyFont="1" applyAlignment="1">
      <alignment horizontal="centerContinuous"/>
    </xf>
    <xf numFmtId="0" fontId="5" fillId="0" borderId="0" xfId="0" applyFont="1" applyAlignment="1" applyProtection="1">
      <alignment vertical="center"/>
      <protection locked="0"/>
    </xf>
    <xf numFmtId="1" fontId="5" fillId="0" borderId="0" xfId="0" applyNumberFormat="1" applyFont="1" applyAlignment="1" applyProtection="1">
      <alignment horizontal="center" vertical="center"/>
      <protection locked="0"/>
    </xf>
    <xf numFmtId="1" fontId="5" fillId="0" borderId="0" xfId="0" applyNumberFormat="1" applyFont="1" applyAlignment="1" applyProtection="1">
      <alignment vertical="center"/>
      <protection locked="0"/>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cellXfs>
  <cellStyles count="1">
    <cellStyle name="Normal" xfId="0" builtinId="0"/>
  </cellStyles>
  <dxfs count="12">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GARGSIR/OtherFiles/HSR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HSR2023withAmnd"/>
      <sheetName val="QTYMaterials"/>
      <sheetName val="HSR2023"/>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745A-65B6-4CAF-B8D2-4A0F39B07284}">
  <sheetPr>
    <tabColor rgb="FF00B050"/>
  </sheetPr>
  <dimension ref="A1:N269"/>
  <sheetViews>
    <sheetView showGridLines="0" tabSelected="1" zoomScaleNormal="100" zoomScaleSheetLayoutView="85" workbookViewId="0">
      <pane ySplit="4" topLeftCell="A5" activePane="bottomLeft" state="frozen"/>
      <selection pane="bottomLeft" activeCell="C16" sqref="C16"/>
    </sheetView>
  </sheetViews>
  <sheetFormatPr defaultColWidth="0" defaultRowHeight="15.75" zeroHeight="1" x14ac:dyDescent="0.25"/>
  <cols>
    <col min="1" max="2" width="10.7109375" style="131" customWidth="1"/>
    <col min="3" max="3" width="69.85546875" style="121" customWidth="1"/>
    <col min="4" max="5" width="10.7109375" style="132" customWidth="1"/>
    <col min="6" max="6" width="10.7109375" style="133" customWidth="1"/>
    <col min="7" max="7" width="10.7109375" style="132" customWidth="1"/>
    <col min="8" max="8" width="10.7109375" style="133" customWidth="1"/>
    <col min="9" max="9" width="10.7109375" style="146" customWidth="1"/>
    <col min="10" max="10" width="10.7109375" style="121" customWidth="1"/>
    <col min="11" max="11" width="10.7109375" style="147" customWidth="1"/>
    <col min="12" max="12" width="10.28515625" style="148" bestFit="1" customWidth="1"/>
    <col min="13" max="13" width="12.140625" style="4" bestFit="1" customWidth="1"/>
    <col min="14" max="14" width="5.7109375" style="4" customWidth="1"/>
    <col min="15" max="16384" width="9.140625" style="4" hidden="1"/>
  </cols>
  <sheetData>
    <row r="1" spans="1:12" x14ac:dyDescent="0.25">
      <c r="A1" s="1" t="s">
        <v>0</v>
      </c>
      <c r="B1" s="2"/>
      <c r="C1" s="2"/>
      <c r="D1" s="2"/>
      <c r="E1" s="2"/>
      <c r="F1" s="2"/>
      <c r="G1" s="2"/>
      <c r="H1" s="2"/>
      <c r="I1" s="2"/>
      <c r="J1" s="2"/>
      <c r="K1" s="2"/>
      <c r="L1" s="3"/>
    </row>
    <row r="2" spans="1:12" x14ac:dyDescent="0.25">
      <c r="A2" s="5"/>
      <c r="B2" s="6"/>
      <c r="C2" s="6"/>
      <c r="D2" s="6"/>
      <c r="E2" s="6"/>
      <c r="F2" s="6"/>
      <c r="G2" s="6"/>
      <c r="H2" s="6"/>
      <c r="I2" s="6"/>
      <c r="J2" s="6"/>
      <c r="K2" s="6"/>
      <c r="L2" s="7"/>
    </row>
    <row r="3" spans="1:12" ht="16.5" thickBot="1" x14ac:dyDescent="0.3">
      <c r="A3" s="8"/>
      <c r="B3" s="9"/>
      <c r="C3" s="9"/>
      <c r="D3" s="9"/>
      <c r="E3" s="9"/>
      <c r="F3" s="9"/>
      <c r="G3" s="9"/>
      <c r="H3" s="9"/>
      <c r="I3" s="9"/>
      <c r="J3" s="9"/>
      <c r="K3" s="9"/>
      <c r="L3" s="10"/>
    </row>
    <row r="4" spans="1:12" s="17" customFormat="1" ht="38.25" thickTop="1" x14ac:dyDescent="0.3">
      <c r="A4" s="11" t="s">
        <v>1</v>
      </c>
      <c r="B4" s="12" t="s">
        <v>2</v>
      </c>
      <c r="C4" s="13" t="s">
        <v>3</v>
      </c>
      <c r="D4" s="13" t="s">
        <v>4</v>
      </c>
      <c r="E4" s="13" t="s">
        <v>5</v>
      </c>
      <c r="F4" s="14" t="s">
        <v>6</v>
      </c>
      <c r="G4" s="13" t="s">
        <v>7</v>
      </c>
      <c r="H4" s="14" t="s">
        <v>8</v>
      </c>
      <c r="I4" s="13" t="s">
        <v>9</v>
      </c>
      <c r="J4" s="13" t="s">
        <v>10</v>
      </c>
      <c r="K4" s="15" t="s">
        <v>11</v>
      </c>
      <c r="L4" s="16" t="s">
        <v>12</v>
      </c>
    </row>
    <row r="5" spans="1:12" s="17" customFormat="1" ht="18.75" x14ac:dyDescent="0.3">
      <c r="A5" s="18"/>
      <c r="B5" s="19"/>
      <c r="C5" s="19"/>
      <c r="D5" s="19"/>
      <c r="E5" s="19"/>
      <c r="F5" s="20"/>
      <c r="G5" s="19"/>
      <c r="H5" s="21"/>
      <c r="I5" s="22"/>
      <c r="J5" s="23"/>
      <c r="K5" s="24"/>
      <c r="L5" s="25"/>
    </row>
    <row r="6" spans="1:12" ht="79.5" x14ac:dyDescent="0.25">
      <c r="A6" s="26">
        <f>IFERROR(LOOKUP(2,1/(ISNUMBER($A$4:$A$5)),$A$4:$A$5),0)+1</f>
        <v>1</v>
      </c>
      <c r="B6" s="27" t="s">
        <v>13</v>
      </c>
      <c r="C6" s="28" t="s">
        <v>14</v>
      </c>
      <c r="D6" s="29"/>
      <c r="E6" s="30"/>
      <c r="F6" s="31"/>
      <c r="G6" s="30"/>
      <c r="H6" s="32"/>
      <c r="I6" s="33"/>
      <c r="J6" s="34"/>
      <c r="K6" s="35"/>
      <c r="L6" s="36"/>
    </row>
    <row r="7" spans="1:12" x14ac:dyDescent="0.25">
      <c r="A7" s="26"/>
      <c r="B7" s="37"/>
      <c r="C7" s="38" t="s">
        <v>15</v>
      </c>
      <c r="D7" s="39">
        <v>10</v>
      </c>
      <c r="E7" s="39">
        <v>1.5</v>
      </c>
      <c r="F7" s="40">
        <v>1.5</v>
      </c>
      <c r="G7" s="39">
        <v>3.5</v>
      </c>
      <c r="H7" s="41">
        <f>D7*IF(OR(E7=0,E7="-"),1,E7)*IF(OR(F7=0,F7="-"),1,F7)*IF(OR(G7=0,G7="-"),1,G7)</f>
        <v>78.75</v>
      </c>
      <c r="I7" s="42" t="s">
        <v>16</v>
      </c>
      <c r="J7" s="43"/>
      <c r="K7" s="44"/>
      <c r="L7" s="45"/>
    </row>
    <row r="8" spans="1:12" s="56" customFormat="1" x14ac:dyDescent="0.25">
      <c r="A8" s="46"/>
      <c r="B8" s="47"/>
      <c r="C8" s="48"/>
      <c r="D8" s="49"/>
      <c r="E8" s="49"/>
      <c r="F8" s="50" t="s">
        <v>17</v>
      </c>
      <c r="G8" s="50"/>
      <c r="H8" s="51">
        <f>SUM(H7:INDEX(H:H,ROW()-1))</f>
        <v>78.75</v>
      </c>
      <c r="I8" s="52" t="s">
        <v>16</v>
      </c>
      <c r="J8" s="53"/>
      <c r="K8" s="54">
        <f>_xlfn.LET(_xlpm.filteredRates, _xlfn._xlws.FILTER([1]!HSR2023withAmnd[Current Rate],(TRIM([1]!HSR2023withAmnd[Item Name]) = TRIM(B6))*([1]!HSR2023withAmnd[Rate Type]=J9)),IF(COUNT(_xlpm.filteredRates)&gt;1, INDEX(_xlpm.filteredRates,2),))</f>
        <v>0</v>
      </c>
      <c r="L8" s="55"/>
    </row>
    <row r="9" spans="1:12" ht="31.5" x14ac:dyDescent="0.25">
      <c r="A9" s="57"/>
      <c r="B9" s="58"/>
      <c r="C9" s="59"/>
      <c r="D9" s="60"/>
      <c r="E9" s="61" t="s">
        <v>18</v>
      </c>
      <c r="F9" s="61"/>
      <c r="G9" s="61"/>
      <c r="H9" s="62">
        <f>ROUND(H8*0.0283,3)</f>
        <v>2.2290000000000001</v>
      </c>
      <c r="I9" s="63" t="s">
        <v>19</v>
      </c>
      <c r="J9" s="53" t="s">
        <v>20</v>
      </c>
      <c r="K9" s="64">
        <f>_xlfn.LET(_xlpm.filteredRates, _xlfn._xlws.FILTER([1]!HSR2023withAmnd[Current Rate],(TRIM([1]!HSR2023withAmnd[Item Name]) = TRIM(B6))*([1]!HSR2023withAmnd[Rate Type]=J9)),IF(COUNT(_xlpm.filteredRates)&gt;=1, INDEX(_xlpm.filteredRates,1),))</f>
        <v>0</v>
      </c>
      <c r="L9" s="65">
        <f>IF(H9*K9&lt;&gt;0,H9*K9,0)</f>
        <v>0</v>
      </c>
    </row>
    <row r="10" spans="1:12" ht="13.9" customHeight="1" x14ac:dyDescent="0.25">
      <c r="A10" s="66"/>
      <c r="B10" s="67"/>
      <c r="C10" s="68"/>
      <c r="D10" s="69"/>
      <c r="E10" s="69"/>
      <c r="F10" s="70"/>
      <c r="G10" s="69"/>
      <c r="H10" s="32"/>
      <c r="I10" s="71"/>
      <c r="J10" s="34"/>
      <c r="K10" s="35"/>
      <c r="L10" s="72"/>
    </row>
    <row r="11" spans="1:12" ht="64.5" x14ac:dyDescent="0.25">
      <c r="A11" s="26">
        <f>IFERROR(LOOKUP(2,1/(ISNUMBER($A$4:$A$10)),$A$4:$A$10),0)+1</f>
        <v>2</v>
      </c>
      <c r="B11" s="27" t="s">
        <v>21</v>
      </c>
      <c r="C11" s="28" t="s">
        <v>22</v>
      </c>
      <c r="D11" s="29"/>
      <c r="E11" s="30"/>
      <c r="F11" s="31"/>
      <c r="G11" s="30"/>
      <c r="H11" s="32"/>
      <c r="I11" s="33"/>
      <c r="J11" s="34"/>
      <c r="K11" s="35"/>
      <c r="L11" s="36"/>
    </row>
    <row r="12" spans="1:12" x14ac:dyDescent="0.25">
      <c r="A12" s="26"/>
      <c r="B12" s="37"/>
      <c r="C12" s="38" t="s">
        <v>15</v>
      </c>
      <c r="D12" s="39">
        <v>10</v>
      </c>
      <c r="E12" s="39">
        <v>1.5</v>
      </c>
      <c r="F12" s="40">
        <v>1.5</v>
      </c>
      <c r="G12" s="39">
        <v>0.5</v>
      </c>
      <c r="H12" s="41">
        <f>D12*IF(OR(E12=0,E12="-"),1,E12)*IF(OR(F12=0,F12="-"),1,F12)*IF(OR(G12=0,G12="-"),1,G12)</f>
        <v>11.25</v>
      </c>
      <c r="I12" s="42" t="s">
        <v>16</v>
      </c>
      <c r="J12" s="43"/>
      <c r="K12" s="44"/>
      <c r="L12" s="45"/>
    </row>
    <row r="13" spans="1:12" x14ac:dyDescent="0.25">
      <c r="A13" s="46"/>
      <c r="B13" s="47"/>
      <c r="C13" s="48"/>
      <c r="D13" s="49"/>
      <c r="E13" s="49"/>
      <c r="F13" s="50" t="s">
        <v>17</v>
      </c>
      <c r="G13" s="50"/>
      <c r="H13" s="51">
        <f>SUM(H12:INDEX(H:H,ROW()-1))</f>
        <v>11.25</v>
      </c>
      <c r="I13" s="52" t="s">
        <v>16</v>
      </c>
      <c r="J13" s="53"/>
      <c r="K13" s="54">
        <f>_xlfn.LET(_xlpm.filteredRates, _xlfn._xlws.FILTER([1]!HSR2023withAmnd[Current Rate],(TRIM([1]!HSR2023withAmnd[Item Name]) = TRIM(B11))*([1]!HSR2023withAmnd[Rate Type]=J14)),IF(COUNT(_xlpm.filteredRates)&gt;1, INDEX(_xlpm.filteredRates,2),))</f>
        <v>0</v>
      </c>
      <c r="L13" s="55"/>
    </row>
    <row r="14" spans="1:12" ht="31.5" x14ac:dyDescent="0.25">
      <c r="A14" s="57"/>
      <c r="B14" s="58"/>
      <c r="C14" s="59"/>
      <c r="D14" s="60"/>
      <c r="E14" s="61" t="s">
        <v>18</v>
      </c>
      <c r="F14" s="61"/>
      <c r="G14" s="61"/>
      <c r="H14" s="62">
        <f>ROUND(H13*0.0283,3)</f>
        <v>0.318</v>
      </c>
      <c r="I14" s="63" t="s">
        <v>19</v>
      </c>
      <c r="J14" s="53" t="s">
        <v>20</v>
      </c>
      <c r="K14" s="64">
        <f>_xlfn.LET(_xlpm.filteredRates, _xlfn._xlws.FILTER([1]!HSR2023withAmnd[Current Rate],(TRIM([1]!HSR2023withAmnd[Item Name]) = TRIM(B11))*([1]!HSR2023withAmnd[Rate Type]=J14)),IF(COUNT(_xlpm.filteredRates)&gt;=1, INDEX(_xlpm.filteredRates,1),))</f>
        <v>0</v>
      </c>
      <c r="L14" s="65">
        <f>IF(H14*K14&lt;&gt;0,H14*K14,0)</f>
        <v>0</v>
      </c>
    </row>
    <row r="15" spans="1:12" ht="13.9" customHeight="1" x14ac:dyDescent="0.25">
      <c r="A15" s="66"/>
      <c r="B15" s="67"/>
      <c r="C15" s="68"/>
      <c r="D15" s="69"/>
      <c r="E15" s="69"/>
      <c r="F15" s="70"/>
      <c r="G15" s="69"/>
      <c r="H15" s="32"/>
      <c r="I15" s="71"/>
      <c r="J15" s="34"/>
      <c r="K15" s="35"/>
      <c r="L15" s="72"/>
    </row>
    <row r="16" spans="1:12" ht="147" x14ac:dyDescent="0.25">
      <c r="A16" s="26">
        <f>IFERROR(LOOKUP(2,1/(ISNUMBER($A$4:$A$15)),$A$4:$A$15),0)+1</f>
        <v>3</v>
      </c>
      <c r="B16" s="73" t="s">
        <v>23</v>
      </c>
      <c r="C16" s="28" t="s">
        <v>24</v>
      </c>
      <c r="D16" s="29"/>
      <c r="E16" s="30"/>
      <c r="F16" s="31"/>
      <c r="G16" s="30"/>
      <c r="H16" s="32"/>
      <c r="I16" s="33"/>
      <c r="J16" s="34"/>
      <c r="K16" s="35"/>
      <c r="L16" s="36"/>
    </row>
    <row r="17" spans="1:12" x14ac:dyDescent="0.25">
      <c r="A17" s="26"/>
      <c r="B17" s="37"/>
      <c r="C17" s="74" t="s">
        <v>25</v>
      </c>
      <c r="D17" s="39"/>
      <c r="E17" s="39"/>
      <c r="F17" s="40"/>
      <c r="G17" s="39"/>
      <c r="H17" s="75"/>
      <c r="I17" s="42"/>
      <c r="J17" s="43"/>
      <c r="K17" s="44"/>
      <c r="L17" s="45"/>
    </row>
    <row r="18" spans="1:12" x14ac:dyDescent="0.25">
      <c r="A18" s="26"/>
      <c r="B18" s="37"/>
      <c r="C18" s="76" t="s">
        <v>26</v>
      </c>
      <c r="D18" s="39"/>
      <c r="E18" s="39"/>
      <c r="F18" s="40"/>
      <c r="G18" s="39"/>
      <c r="H18" s="75"/>
      <c r="I18" s="42"/>
      <c r="J18" s="43"/>
      <c r="K18" s="44"/>
      <c r="L18" s="45"/>
    </row>
    <row r="19" spans="1:12" x14ac:dyDescent="0.25">
      <c r="A19" s="26"/>
      <c r="B19" s="37"/>
      <c r="C19" s="38"/>
      <c r="D19" s="39">
        <v>10</v>
      </c>
      <c r="E19" s="39">
        <v>4</v>
      </c>
      <c r="F19" s="40">
        <v>6</v>
      </c>
      <c r="G19" s="39"/>
      <c r="H19" s="41">
        <f>D19*IF(OR(E19=0,E19="-"),1,E19)*IF(OR(F19=0,F19="-"),1,F19)*IF(OR(G19=0,G19="-"),1,G19)</f>
        <v>240</v>
      </c>
      <c r="I19" s="42" t="s">
        <v>27</v>
      </c>
      <c r="J19" s="43"/>
      <c r="K19" s="44"/>
      <c r="L19" s="45"/>
    </row>
    <row r="20" spans="1:12" x14ac:dyDescent="0.25">
      <c r="A20" s="46"/>
      <c r="B20" s="47"/>
      <c r="C20" s="48"/>
      <c r="D20" s="49"/>
      <c r="E20" s="49"/>
      <c r="F20" s="50" t="s">
        <v>28</v>
      </c>
      <c r="G20" s="50"/>
      <c r="H20" s="51">
        <f>SUM(H19:INDEX(H:H,ROW()-1))</f>
        <v>240</v>
      </c>
      <c r="I20" s="52" t="s">
        <v>27</v>
      </c>
      <c r="J20" s="53"/>
      <c r="K20" s="44"/>
      <c r="L20" s="55"/>
    </row>
    <row r="21" spans="1:12" x14ac:dyDescent="0.25">
      <c r="A21" s="57"/>
      <c r="B21" s="58"/>
      <c r="C21" s="59"/>
      <c r="D21" s="60"/>
      <c r="E21" s="61" t="s">
        <v>29</v>
      </c>
      <c r="F21" s="61"/>
      <c r="G21" s="61"/>
      <c r="H21" s="62">
        <f>ROUND(H20*0.3048,3)</f>
        <v>73.152000000000001</v>
      </c>
      <c r="I21" s="63" t="s">
        <v>30</v>
      </c>
      <c r="J21" s="53"/>
      <c r="K21" s="44"/>
      <c r="L21" s="77"/>
    </row>
    <row r="22" spans="1:12" ht="31.15" customHeight="1" x14ac:dyDescent="0.25">
      <c r="A22" s="78"/>
      <c r="B22" s="79"/>
      <c r="C22" s="80"/>
      <c r="D22" s="81"/>
      <c r="E22" s="82" t="s">
        <v>31</v>
      </c>
      <c r="F22" s="82"/>
      <c r="G22" s="82"/>
      <c r="H22" s="62">
        <f>(H21*12^2)/162</f>
        <v>65.024000000000001</v>
      </c>
      <c r="I22" s="83" t="s">
        <v>32</v>
      </c>
      <c r="J22" s="84" t="s">
        <v>33</v>
      </c>
      <c r="K22" s="44" t="s">
        <v>33</v>
      </c>
      <c r="L22" s="85"/>
    </row>
    <row r="23" spans="1:12" ht="13.9" customHeight="1" x14ac:dyDescent="0.25">
      <c r="A23" s="66"/>
      <c r="B23" s="67"/>
      <c r="C23" s="68"/>
      <c r="D23" s="69"/>
      <c r="E23" s="69"/>
      <c r="F23" s="70"/>
      <c r="G23" s="69"/>
      <c r="H23" s="32"/>
      <c r="I23" s="71"/>
      <c r="J23" s="34"/>
      <c r="K23" s="35"/>
      <c r="L23" s="72"/>
    </row>
    <row r="24" spans="1:12" x14ac:dyDescent="0.25">
      <c r="A24" s="26"/>
      <c r="B24" s="37"/>
      <c r="C24" s="76" t="s">
        <v>34</v>
      </c>
      <c r="D24" s="39"/>
      <c r="E24" s="39"/>
      <c r="F24" s="40"/>
      <c r="G24" s="39"/>
      <c r="H24" s="75"/>
      <c r="I24" s="42"/>
      <c r="J24" s="43"/>
      <c r="K24" s="44"/>
      <c r="L24" s="45"/>
    </row>
    <row r="25" spans="1:12" x14ac:dyDescent="0.25">
      <c r="A25" s="26"/>
      <c r="B25" s="37"/>
      <c r="C25" s="38" t="s">
        <v>35</v>
      </c>
      <c r="D25" s="39">
        <f>10*12</f>
        <v>120</v>
      </c>
      <c r="E25" s="39">
        <f>((15+15+2.5)*2)/12</f>
        <v>5.416666666666667</v>
      </c>
      <c r="F25" s="40"/>
      <c r="G25" s="39"/>
      <c r="H25" s="41">
        <f>D25*IF(OR(E25=0,E25="-"),1,E25)*IF(OR(F25=0,F25="-"),1,F25)*IF(OR(G25=0,G25="-"),1,G25)</f>
        <v>650</v>
      </c>
      <c r="I25" s="42" t="s">
        <v>27</v>
      </c>
      <c r="J25" s="43"/>
      <c r="K25" s="44"/>
      <c r="L25" s="45"/>
    </row>
    <row r="26" spans="1:12" x14ac:dyDescent="0.25">
      <c r="A26" s="46"/>
      <c r="B26" s="47"/>
      <c r="C26" s="48"/>
      <c r="D26" s="49"/>
      <c r="E26" s="49"/>
      <c r="F26" s="50" t="s">
        <v>28</v>
      </c>
      <c r="G26" s="50"/>
      <c r="H26" s="51">
        <f>SUM(H25:INDEX(H:H,ROW()-1))</f>
        <v>650</v>
      </c>
      <c r="I26" s="52" t="s">
        <v>27</v>
      </c>
      <c r="J26" s="53"/>
      <c r="K26" s="44"/>
      <c r="L26" s="55"/>
    </row>
    <row r="27" spans="1:12" x14ac:dyDescent="0.25">
      <c r="A27" s="57"/>
      <c r="B27" s="58"/>
      <c r="C27" s="59"/>
      <c r="D27" s="60"/>
      <c r="E27" s="61" t="s">
        <v>29</v>
      </c>
      <c r="F27" s="61"/>
      <c r="G27" s="61"/>
      <c r="H27" s="62">
        <f>ROUND(H26*0.3048,3)</f>
        <v>198.12</v>
      </c>
      <c r="I27" s="63" t="s">
        <v>30</v>
      </c>
      <c r="J27" s="53"/>
      <c r="K27" s="44"/>
      <c r="L27" s="77"/>
    </row>
    <row r="28" spans="1:12" ht="31.15" customHeight="1" x14ac:dyDescent="0.25">
      <c r="A28" s="78"/>
      <c r="B28" s="79"/>
      <c r="C28" s="80"/>
      <c r="D28" s="81"/>
      <c r="E28" s="82" t="s">
        <v>36</v>
      </c>
      <c r="F28" s="82"/>
      <c r="G28" s="82"/>
      <c r="H28" s="62">
        <f>(H27*8^2)/162</f>
        <v>78.269629629629634</v>
      </c>
      <c r="I28" s="83" t="s">
        <v>32</v>
      </c>
      <c r="J28" s="84" t="s">
        <v>37</v>
      </c>
      <c r="K28" s="44" t="s">
        <v>37</v>
      </c>
      <c r="L28" s="85"/>
    </row>
    <row r="29" spans="1:12" ht="13.9" customHeight="1" x14ac:dyDescent="0.25">
      <c r="A29" s="86"/>
      <c r="B29" s="87"/>
      <c r="C29" s="88"/>
      <c r="D29" s="89"/>
      <c r="E29" s="88"/>
      <c r="F29" s="88"/>
      <c r="G29" s="88"/>
      <c r="H29" s="90"/>
      <c r="I29" s="91"/>
      <c r="J29" s="92"/>
      <c r="K29" s="93">
        <f>_xlfn.LET(_xlpm.filteredRates, _xlfn._xlws.FILTER([1]!HSR2023withAmnd[Current Rate],(TRIM([1]!HSR2023withAmnd[Item Name]) = TRIM(B16))*([1]!HSR2023withAmnd[Rate Type]=J30)),IF(COUNT(_xlpm.filteredRates)&gt;1, INDEX(_xlpm.filteredRates,2),))</f>
        <v>0</v>
      </c>
      <c r="L29" s="94"/>
    </row>
    <row r="30" spans="1:12" ht="31.15" customHeight="1" x14ac:dyDescent="0.25">
      <c r="A30" s="95"/>
      <c r="B30" s="96"/>
      <c r="C30" s="97"/>
      <c r="D30" s="96"/>
      <c r="E30" s="98" t="s">
        <v>38</v>
      </c>
      <c r="F30" s="98"/>
      <c r="G30" s="98"/>
      <c r="H30" s="99">
        <f>SUM(H22,H28)</f>
        <v>143.29362962962963</v>
      </c>
      <c r="I30" s="100" t="s">
        <v>32</v>
      </c>
      <c r="J30" s="101" t="s">
        <v>39</v>
      </c>
      <c r="K30" s="102">
        <f>_xlfn.LET(_xlpm.filteredRates, _xlfn._xlws.FILTER([1]!HSR2023withAmnd[Current Rate],(TRIM([1]!HSR2023withAmnd[Item Name]) = TRIM(B16))*([1]!HSR2023withAmnd[Rate Type]=J30)),IF(COUNT(_xlpm.filteredRates)&gt;=1, INDEX(_xlpm.filteredRates,1),))</f>
        <v>0</v>
      </c>
      <c r="L30" s="103">
        <f>IF(H30*K30&lt;&gt;0,H30*K30,0)</f>
        <v>0</v>
      </c>
    </row>
    <row r="31" spans="1:12" ht="13.9" customHeight="1" x14ac:dyDescent="0.25">
      <c r="A31" s="104"/>
      <c r="B31" s="105"/>
      <c r="C31" s="106"/>
      <c r="D31" s="107"/>
      <c r="E31" s="106"/>
      <c r="F31" s="106"/>
      <c r="G31" s="106"/>
      <c r="H31" s="108"/>
      <c r="I31" s="109"/>
      <c r="J31" s="110"/>
      <c r="K31" s="111"/>
      <c r="L31" s="112"/>
    </row>
    <row r="32" spans="1:12" ht="78" x14ac:dyDescent="0.25">
      <c r="A32" s="26">
        <f>IFERROR(LOOKUP(2,1/(ISNUMBER($A$4:$A$31)),$A$4:$A$31),0)+1</f>
        <v>4</v>
      </c>
      <c r="B32" s="73" t="s">
        <v>40</v>
      </c>
      <c r="C32" s="28" t="s">
        <v>41</v>
      </c>
      <c r="D32" s="29"/>
      <c r="E32" s="30"/>
      <c r="F32" s="31"/>
      <c r="G32" s="30"/>
      <c r="H32" s="32"/>
      <c r="I32" s="33"/>
      <c r="J32" s="34"/>
      <c r="K32" s="35"/>
      <c r="L32" s="36"/>
    </row>
    <row r="33" spans="1:12" x14ac:dyDescent="0.25">
      <c r="A33" s="26"/>
      <c r="B33" s="37"/>
      <c r="C33" s="38" t="s">
        <v>42</v>
      </c>
      <c r="D33" s="39">
        <v>10</v>
      </c>
      <c r="E33" s="39">
        <v>1.5</v>
      </c>
      <c r="F33" s="40">
        <v>1.5</v>
      </c>
      <c r="G33" s="39">
        <v>3.5</v>
      </c>
      <c r="H33" s="41">
        <f>D33*IF(OR(E33=0,E33="-"),1,E33)*IF(OR(F33=0,F33="-"),1,F33)*IF(OR(G33=0,G33="-"),1,G33)</f>
        <v>78.75</v>
      </c>
      <c r="I33" s="42" t="s">
        <v>16</v>
      </c>
      <c r="J33" s="43"/>
      <c r="K33" s="44"/>
      <c r="L33" s="45"/>
    </row>
    <row r="34" spans="1:12" x14ac:dyDescent="0.25">
      <c r="A34" s="46"/>
      <c r="B34" s="47"/>
      <c r="C34" s="48"/>
      <c r="D34" s="49"/>
      <c r="E34" s="49"/>
      <c r="F34" s="50" t="s">
        <v>17</v>
      </c>
      <c r="G34" s="50"/>
      <c r="H34" s="51">
        <f>SUM(H33:INDEX(H:H,ROW()-1))</f>
        <v>78.75</v>
      </c>
      <c r="I34" s="52" t="s">
        <v>16</v>
      </c>
      <c r="J34" s="53"/>
      <c r="K34" s="54">
        <f>_xlfn.LET(_xlpm.filteredRates, _xlfn._xlws.FILTER([1]!HSR2023withAmnd[Current Rate],(TRIM([1]!HSR2023withAmnd[Item Name]) = TRIM(B32))*([1]!HSR2023withAmnd[Rate Type]=J35)),IF(COUNT(_xlpm.filteredRates)&gt;1, INDEX(_xlpm.filteredRates,2),))</f>
        <v>0</v>
      </c>
      <c r="L34" s="55"/>
    </row>
    <row r="35" spans="1:12" ht="31.5" x14ac:dyDescent="0.25">
      <c r="A35" s="57"/>
      <c r="B35" s="58"/>
      <c r="C35" s="59"/>
      <c r="D35" s="60"/>
      <c r="E35" s="61" t="s">
        <v>18</v>
      </c>
      <c r="F35" s="61"/>
      <c r="G35" s="61"/>
      <c r="H35" s="62">
        <f>ROUND(H34*0.0283,3)</f>
        <v>2.2290000000000001</v>
      </c>
      <c r="I35" s="63" t="s">
        <v>19</v>
      </c>
      <c r="J35" s="53" t="s">
        <v>20</v>
      </c>
      <c r="K35" s="64">
        <f>_xlfn.LET(_xlpm.filteredRates, _xlfn._xlws.FILTER([1]!HSR2023withAmnd[Current Rate],(TRIM([1]!HSR2023withAmnd[Item Name]) = TRIM(B32))*([1]!HSR2023withAmnd[Rate Type]=J35)),IF(COUNT(_xlpm.filteredRates)&gt;=1, INDEX(_xlpm.filteredRates,1),))</f>
        <v>0</v>
      </c>
      <c r="L35" s="65">
        <f>IF(H35*K35&lt;&gt;0,H35*K35,0)</f>
        <v>0</v>
      </c>
    </row>
    <row r="36" spans="1:12" ht="13.9" customHeight="1" x14ac:dyDescent="0.25">
      <c r="A36" s="66"/>
      <c r="B36" s="67"/>
      <c r="C36" s="68"/>
      <c r="D36" s="69"/>
      <c r="E36" s="69"/>
      <c r="F36" s="70"/>
      <c r="G36" s="69"/>
      <c r="H36" s="32"/>
      <c r="I36" s="71"/>
      <c r="J36" s="34"/>
      <c r="K36" s="35"/>
      <c r="L36" s="72"/>
    </row>
    <row r="37" spans="1:12" ht="40.5" x14ac:dyDescent="0.25">
      <c r="A37" s="26">
        <f>IFERROR(LOOKUP(2,1/(ISNUMBER($A$4:$A$36)),$A$4:$A$36),0)+1</f>
        <v>5</v>
      </c>
      <c r="B37" s="73" t="s">
        <v>43</v>
      </c>
      <c r="C37" s="28" t="s">
        <v>44</v>
      </c>
      <c r="D37" s="29"/>
      <c r="E37" s="30"/>
      <c r="F37" s="31"/>
      <c r="G37" s="30"/>
      <c r="H37" s="32"/>
      <c r="I37" s="33"/>
      <c r="J37" s="34"/>
      <c r="K37" s="35"/>
      <c r="L37" s="36"/>
    </row>
    <row r="38" spans="1:12" x14ac:dyDescent="0.25">
      <c r="A38" s="26"/>
      <c r="B38" s="37"/>
      <c r="C38" s="74" t="s">
        <v>45</v>
      </c>
      <c r="D38" s="39"/>
      <c r="E38" s="39"/>
      <c r="F38" s="40"/>
      <c r="G38" s="39"/>
      <c r="H38" s="75"/>
      <c r="I38" s="42"/>
      <c r="J38" s="43"/>
      <c r="K38" s="44"/>
      <c r="L38" s="45"/>
    </row>
    <row r="39" spans="1:12" x14ac:dyDescent="0.25">
      <c r="A39" s="26"/>
      <c r="B39" s="37"/>
      <c r="C39" s="113" t="s">
        <v>46</v>
      </c>
      <c r="D39" s="39">
        <v>10</v>
      </c>
      <c r="E39" s="39">
        <v>4</v>
      </c>
      <c r="F39" s="40">
        <v>4.5</v>
      </c>
      <c r="G39" s="39"/>
      <c r="H39" s="41">
        <f>D39*IF(OR(E39=0,E39="-"),1,E39)*IF(OR(F39=0,F39="-"),1,F39)*IF(OR(G39=0,G39="-"),1,G39)</f>
        <v>180</v>
      </c>
      <c r="I39" s="42" t="s">
        <v>47</v>
      </c>
      <c r="J39" s="43"/>
      <c r="K39" s="44"/>
      <c r="L39" s="45"/>
    </row>
    <row r="40" spans="1:12" x14ac:dyDescent="0.25">
      <c r="A40" s="46"/>
      <c r="B40" s="47"/>
      <c r="C40" s="114"/>
      <c r="D40" s="49"/>
      <c r="E40" s="49"/>
      <c r="F40" s="50" t="s">
        <v>48</v>
      </c>
      <c r="G40" s="50"/>
      <c r="H40" s="51">
        <f>SUM(H39:INDEX(H:H,ROW()-1))</f>
        <v>180</v>
      </c>
      <c r="I40" s="52" t="s">
        <v>47</v>
      </c>
      <c r="J40" s="53"/>
      <c r="K40" s="44"/>
      <c r="L40" s="55"/>
    </row>
    <row r="41" spans="1:12" x14ac:dyDescent="0.25">
      <c r="A41" s="57"/>
      <c r="B41" s="58"/>
      <c r="C41" s="115"/>
      <c r="D41" s="60"/>
      <c r="E41" s="61" t="s">
        <v>48</v>
      </c>
      <c r="F41" s="61"/>
      <c r="G41" s="61"/>
      <c r="H41" s="62">
        <f>ROUND(H40*1,3)</f>
        <v>180</v>
      </c>
      <c r="I41" s="63" t="s">
        <v>47</v>
      </c>
      <c r="J41" s="53"/>
      <c r="K41" s="44"/>
      <c r="L41" s="77"/>
    </row>
    <row r="42" spans="1:12" ht="31.15" customHeight="1" x14ac:dyDescent="0.25">
      <c r="A42" s="78"/>
      <c r="B42" s="79"/>
      <c r="C42" s="116"/>
      <c r="D42" s="81"/>
      <c r="E42" s="82" t="s">
        <v>49</v>
      </c>
      <c r="F42" s="82"/>
      <c r="G42" s="82"/>
      <c r="H42" s="62">
        <f>(H41*25^2)/162</f>
        <v>694.44444444444446</v>
      </c>
      <c r="I42" s="83" t="s">
        <v>32</v>
      </c>
      <c r="J42" s="84" t="s">
        <v>33</v>
      </c>
      <c r="K42" s="44"/>
      <c r="L42" s="85"/>
    </row>
    <row r="43" spans="1:12" ht="13.9" customHeight="1" x14ac:dyDescent="0.25">
      <c r="A43" s="104"/>
      <c r="B43" s="105"/>
      <c r="C43" s="106"/>
      <c r="D43" s="107"/>
      <c r="E43" s="106"/>
      <c r="F43" s="106"/>
      <c r="G43" s="106"/>
      <c r="H43" s="108"/>
      <c r="I43" s="109"/>
      <c r="J43" s="110"/>
      <c r="K43" s="117"/>
      <c r="L43" s="112"/>
    </row>
    <row r="44" spans="1:12" x14ac:dyDescent="0.25">
      <c r="A44" s="26"/>
      <c r="B44" s="37"/>
      <c r="C44" s="118" t="s">
        <v>50</v>
      </c>
      <c r="D44" s="39"/>
      <c r="E44" s="39"/>
      <c r="F44" s="40"/>
      <c r="G44" s="39"/>
      <c r="H44" s="75"/>
      <c r="I44" s="42"/>
      <c r="J44" s="43"/>
      <c r="K44" s="44"/>
      <c r="L44" s="45"/>
    </row>
    <row r="45" spans="1:12" x14ac:dyDescent="0.25">
      <c r="A45" s="26"/>
      <c r="B45" s="37"/>
      <c r="C45" s="113" t="s">
        <v>51</v>
      </c>
      <c r="D45" s="39">
        <v>10</v>
      </c>
      <c r="E45" s="39">
        <v>1</v>
      </c>
      <c r="F45" s="40">
        <v>1</v>
      </c>
      <c r="G45" s="39"/>
      <c r="H45" s="41">
        <f>D45*IF(OR(E45=0,E45="-"),1,E45)*IF(OR(F45=0,F45="-"),1,F45)*IF(OR(G45=0,G45="-"),1,G45)</f>
        <v>10</v>
      </c>
      <c r="I45" s="42" t="s">
        <v>52</v>
      </c>
      <c r="J45" s="43"/>
      <c r="K45" s="44"/>
      <c r="L45" s="45"/>
    </row>
    <row r="46" spans="1:12" x14ac:dyDescent="0.25">
      <c r="A46" s="26"/>
      <c r="B46" s="37"/>
      <c r="C46" s="74"/>
      <c r="D46" s="39">
        <v>10</v>
      </c>
      <c r="E46" s="39">
        <v>0.83299999999999996</v>
      </c>
      <c r="F46" s="40">
        <v>0.83299999999999996</v>
      </c>
      <c r="G46" s="39"/>
      <c r="H46" s="41">
        <f>D46*IF(OR(E46=0,E46="-"),1,E46)*IF(OR(F46=0,F46="-"),1,F46)*IF(OR(G46=0,G46="-"),1,G46)</f>
        <v>6.9388899999999998</v>
      </c>
      <c r="I46" s="42" t="s">
        <v>52</v>
      </c>
      <c r="J46" s="43"/>
      <c r="K46" s="44"/>
      <c r="L46" s="45"/>
    </row>
    <row r="47" spans="1:12" x14ac:dyDescent="0.25">
      <c r="A47" s="46"/>
      <c r="B47" s="47"/>
      <c r="C47" s="114"/>
      <c r="D47" s="49"/>
      <c r="E47" s="49"/>
      <c r="F47" s="50" t="s">
        <v>53</v>
      </c>
      <c r="G47" s="50"/>
      <c r="H47" s="51">
        <f>SUM(H45:INDEX(H:H,ROW()-1))</f>
        <v>16.938890000000001</v>
      </c>
      <c r="I47" s="52" t="s">
        <v>52</v>
      </c>
      <c r="J47" s="53"/>
      <c r="K47" s="44"/>
      <c r="L47" s="55"/>
    </row>
    <row r="48" spans="1:12" x14ac:dyDescent="0.25">
      <c r="A48" s="57"/>
      <c r="B48" s="58"/>
      <c r="C48" s="115"/>
      <c r="D48" s="60"/>
      <c r="E48" s="61" t="s">
        <v>54</v>
      </c>
      <c r="F48" s="61"/>
      <c r="G48" s="61"/>
      <c r="H48" s="62">
        <f>ROUND(H47*0.0929,3)</f>
        <v>1.5740000000000001</v>
      </c>
      <c r="I48" s="63" t="s">
        <v>55</v>
      </c>
      <c r="J48" s="53"/>
      <c r="K48" s="44"/>
      <c r="L48" s="77"/>
    </row>
    <row r="49" spans="1:12" ht="31.15" customHeight="1" x14ac:dyDescent="0.25">
      <c r="A49" s="78"/>
      <c r="B49" s="79"/>
      <c r="C49" s="116"/>
      <c r="D49" s="81"/>
      <c r="E49" s="119" t="s">
        <v>56</v>
      </c>
      <c r="F49" s="119"/>
      <c r="G49" s="119"/>
      <c r="H49" s="62">
        <f>H48*32.4</f>
        <v>50.997599999999998</v>
      </c>
      <c r="I49" s="83" t="s">
        <v>32</v>
      </c>
      <c r="J49" s="84" t="s">
        <v>37</v>
      </c>
      <c r="K49" s="44"/>
      <c r="L49" s="85"/>
    </row>
    <row r="50" spans="1:12" ht="13.9" customHeight="1" x14ac:dyDescent="0.25">
      <c r="A50" s="86"/>
      <c r="B50" s="87"/>
      <c r="C50" s="88"/>
      <c r="D50" s="89"/>
      <c r="E50" s="88"/>
      <c r="F50" s="88"/>
      <c r="G50" s="88"/>
      <c r="H50" s="90"/>
      <c r="I50" s="91"/>
      <c r="J50" s="92"/>
      <c r="K50" s="93">
        <f>_xlfn.LET(_xlpm.filteredRates, _xlfn._xlws.FILTER([1]!HSR2023withAmnd[Current Rate],(TRIM([1]!HSR2023withAmnd[Item Name]) = TRIM(B37))*([1]!HSR2023withAmnd[Rate Type]=J51)),IF(COUNT(_xlpm.filteredRates)&gt;1, INDEX(_xlpm.filteredRates,2),))</f>
        <v>0</v>
      </c>
      <c r="L50" s="94"/>
    </row>
    <row r="51" spans="1:12" ht="31.15" customHeight="1" x14ac:dyDescent="0.25">
      <c r="A51" s="95"/>
      <c r="B51" s="96"/>
      <c r="C51" s="97"/>
      <c r="D51" s="96"/>
      <c r="E51" s="98" t="s">
        <v>38</v>
      </c>
      <c r="F51" s="98"/>
      <c r="G51" s="98"/>
      <c r="H51" s="99">
        <f>SUM(H42,H49)</f>
        <v>745.44204444444449</v>
      </c>
      <c r="I51" s="100" t="s">
        <v>32</v>
      </c>
      <c r="J51" s="101" t="s">
        <v>20</v>
      </c>
      <c r="K51" s="102">
        <f>_xlfn.LET(_xlpm.filteredRates, _xlfn._xlws.FILTER([1]!HSR2023withAmnd[Current Rate],(TRIM([1]!HSR2023withAmnd[Item Name]) = TRIM(B37))*([1]!HSR2023withAmnd[Rate Type]=J51)),IF(COUNT(_xlpm.filteredRates)&gt;=1, INDEX(_xlpm.filteredRates,1),))</f>
        <v>0</v>
      </c>
      <c r="L51" s="103">
        <f>IF(H51*K51&lt;&gt;0,H51*K51,0)</f>
        <v>0</v>
      </c>
    </row>
    <row r="52" spans="1:12" ht="13.9" customHeight="1" x14ac:dyDescent="0.25">
      <c r="A52" s="104"/>
      <c r="B52" s="105"/>
      <c r="C52" s="106"/>
      <c r="D52" s="107"/>
      <c r="E52" s="106"/>
      <c r="F52" s="106"/>
      <c r="G52" s="106"/>
      <c r="H52" s="108"/>
      <c r="I52" s="109"/>
      <c r="J52" s="110"/>
      <c r="K52" s="111"/>
      <c r="L52" s="112"/>
    </row>
    <row r="53" spans="1:12" ht="79.5" x14ac:dyDescent="0.25">
      <c r="A53" s="26">
        <f>IFERROR(LOOKUP(2,1/(ISNUMBER($A$4:$A$52)),$A$4:$A$52),0)+1</f>
        <v>6</v>
      </c>
      <c r="B53" s="73" t="s">
        <v>57</v>
      </c>
      <c r="C53" s="28" t="s">
        <v>58</v>
      </c>
      <c r="D53" s="29"/>
      <c r="E53" s="30"/>
      <c r="F53" s="31"/>
      <c r="G53" s="30"/>
      <c r="H53" s="32"/>
      <c r="I53" s="33"/>
      <c r="J53" s="34"/>
      <c r="K53" s="35"/>
      <c r="L53" s="36"/>
    </row>
    <row r="54" spans="1:12" x14ac:dyDescent="0.25">
      <c r="A54" s="26"/>
      <c r="B54" s="37"/>
      <c r="C54" s="118" t="s">
        <v>59</v>
      </c>
      <c r="D54" s="39"/>
      <c r="E54" s="39"/>
      <c r="F54" s="40"/>
      <c r="G54" s="39"/>
      <c r="H54" s="75"/>
      <c r="I54" s="42"/>
      <c r="J54" s="43"/>
      <c r="K54" s="44"/>
      <c r="L54" s="45"/>
    </row>
    <row r="55" spans="1:12" x14ac:dyDescent="0.25">
      <c r="A55" s="26"/>
      <c r="B55" s="37"/>
      <c r="C55" s="113" t="s">
        <v>60</v>
      </c>
      <c r="D55" s="39">
        <v>10</v>
      </c>
      <c r="E55" s="39">
        <v>14</v>
      </c>
      <c r="F55" s="40"/>
      <c r="G55" s="39"/>
      <c r="H55" s="41">
        <f>D55*IF(OR(E55=0,E55="-"),1,E55)*IF(OR(F55=0,F55="-"),1,F55)*IF(OR(G55=0,G55="-"),1,G55)</f>
        <v>140</v>
      </c>
      <c r="I55" s="42" t="s">
        <v>27</v>
      </c>
      <c r="J55" s="43"/>
      <c r="K55" s="44"/>
      <c r="L55" s="45"/>
    </row>
    <row r="56" spans="1:12" x14ac:dyDescent="0.25">
      <c r="A56" s="46"/>
      <c r="B56" s="47"/>
      <c r="C56" s="114"/>
      <c r="D56" s="49"/>
      <c r="E56" s="49"/>
      <c r="F56" s="50" t="s">
        <v>28</v>
      </c>
      <c r="G56" s="50"/>
      <c r="H56" s="51">
        <f>SUM(H55:INDEX(H:H,ROW()-1))</f>
        <v>140</v>
      </c>
      <c r="I56" s="52" t="s">
        <v>27</v>
      </c>
      <c r="J56" s="53"/>
      <c r="K56" s="54"/>
      <c r="L56" s="55"/>
    </row>
    <row r="57" spans="1:12" x14ac:dyDescent="0.25">
      <c r="A57" s="57"/>
      <c r="B57" s="58"/>
      <c r="C57" s="115"/>
      <c r="D57" s="60"/>
      <c r="E57" s="61" t="s">
        <v>29</v>
      </c>
      <c r="F57" s="61"/>
      <c r="G57" s="61"/>
      <c r="H57" s="62">
        <f>ROUND(H56*0.3048,3)</f>
        <v>42.671999999999997</v>
      </c>
      <c r="I57" s="63" t="s">
        <v>30</v>
      </c>
      <c r="J57" s="53"/>
      <c r="K57" s="64"/>
      <c r="L57" s="65"/>
    </row>
    <row r="58" spans="1:12" ht="31.15" customHeight="1" x14ac:dyDescent="0.25">
      <c r="A58" s="78"/>
      <c r="B58" s="79"/>
      <c r="C58" s="116"/>
      <c r="D58" s="81"/>
      <c r="E58" s="119" t="s">
        <v>61</v>
      </c>
      <c r="F58" s="119"/>
      <c r="G58" s="119"/>
      <c r="H58" s="62">
        <f>H57*18.361</f>
        <v>783.50059199999998</v>
      </c>
      <c r="I58" s="83" t="s">
        <v>32</v>
      </c>
      <c r="J58" s="84" t="s">
        <v>33</v>
      </c>
      <c r="K58" s="44"/>
      <c r="L58" s="85"/>
    </row>
    <row r="59" spans="1:12" ht="13.9" customHeight="1" x14ac:dyDescent="0.25">
      <c r="A59" s="66"/>
      <c r="B59" s="67"/>
      <c r="C59" s="120"/>
      <c r="D59" s="69"/>
      <c r="E59" s="69"/>
      <c r="F59" s="70"/>
      <c r="G59" s="69"/>
      <c r="H59" s="32"/>
      <c r="I59" s="71"/>
      <c r="J59" s="34"/>
      <c r="K59" s="35"/>
      <c r="L59" s="72"/>
    </row>
    <row r="60" spans="1:12" x14ac:dyDescent="0.25">
      <c r="A60" s="26"/>
      <c r="B60" s="37"/>
      <c r="C60" s="118" t="s">
        <v>62</v>
      </c>
      <c r="D60" s="39">
        <v>4</v>
      </c>
      <c r="E60" s="39">
        <v>1</v>
      </c>
      <c r="F60" s="40">
        <v>40</v>
      </c>
      <c r="G60" s="39"/>
      <c r="H60" s="41">
        <f>D60*IF(OR(E60=0,E60="-"),1,E60)*IF(OR(F60=0,F60="-"),1,F60)*IF(OR(G60=0,G60="-"),1,G60)</f>
        <v>160</v>
      </c>
      <c r="I60" s="42" t="s">
        <v>27</v>
      </c>
      <c r="J60" s="43"/>
      <c r="K60" s="44"/>
      <c r="L60" s="45"/>
    </row>
    <row r="61" spans="1:12" x14ac:dyDescent="0.25">
      <c r="A61" s="26"/>
      <c r="B61" s="37"/>
      <c r="C61" s="113" t="s">
        <v>63</v>
      </c>
      <c r="D61" s="39">
        <v>4</v>
      </c>
      <c r="E61" s="39">
        <v>1</v>
      </c>
      <c r="F61" s="40">
        <v>41</v>
      </c>
      <c r="G61" s="39"/>
      <c r="H61" s="41">
        <f>D61*IF(OR(E61=0,E61="-"),1,E61)*IF(OR(F61=0,F61="-"),1,F61)*IF(OR(G61=0,G61="-"),1,G61)</f>
        <v>164</v>
      </c>
      <c r="I61" s="42" t="s">
        <v>27</v>
      </c>
      <c r="J61" s="43"/>
      <c r="K61" s="44"/>
      <c r="L61" s="45"/>
    </row>
    <row r="62" spans="1:12" x14ac:dyDescent="0.25">
      <c r="A62" s="46"/>
      <c r="B62" s="47"/>
      <c r="C62" s="114"/>
      <c r="D62" s="49"/>
      <c r="E62" s="49"/>
      <c r="F62" s="50" t="s">
        <v>28</v>
      </c>
      <c r="G62" s="50"/>
      <c r="H62" s="51">
        <f>SUM(H60:INDEX(H:H,ROW()-1))</f>
        <v>324</v>
      </c>
      <c r="I62" s="52" t="s">
        <v>27</v>
      </c>
      <c r="J62" s="53"/>
      <c r="K62" s="54"/>
      <c r="L62" s="55"/>
    </row>
    <row r="63" spans="1:12" x14ac:dyDescent="0.25">
      <c r="A63" s="57"/>
      <c r="B63" s="58"/>
      <c r="C63" s="115"/>
      <c r="D63" s="60"/>
      <c r="E63" s="61" t="s">
        <v>29</v>
      </c>
      <c r="F63" s="61"/>
      <c r="G63" s="61"/>
      <c r="H63" s="62">
        <f>ROUND(H62*0.3048,3)</f>
        <v>98.754999999999995</v>
      </c>
      <c r="I63" s="63" t="s">
        <v>30</v>
      </c>
      <c r="J63" s="53"/>
      <c r="K63" s="64"/>
      <c r="L63" s="65"/>
    </row>
    <row r="64" spans="1:12" ht="31.15" customHeight="1" x14ac:dyDescent="0.25">
      <c r="A64" s="78"/>
      <c r="B64" s="79"/>
      <c r="C64" s="116"/>
      <c r="D64" s="81"/>
      <c r="E64" s="119" t="s">
        <v>64</v>
      </c>
      <c r="F64" s="119"/>
      <c r="G64" s="119"/>
      <c r="H64" s="62">
        <f>H63*6.8</f>
        <v>671.53399999999999</v>
      </c>
      <c r="I64" s="83" t="s">
        <v>32</v>
      </c>
      <c r="J64" s="84" t="s">
        <v>37</v>
      </c>
      <c r="K64" s="44"/>
      <c r="L64" s="85"/>
    </row>
    <row r="65" spans="1:12" ht="13.9" customHeight="1" x14ac:dyDescent="0.25">
      <c r="A65" s="66"/>
      <c r="B65" s="67"/>
      <c r="C65" s="120"/>
      <c r="D65" s="69"/>
      <c r="E65" s="69"/>
      <c r="F65" s="70"/>
      <c r="G65" s="69"/>
      <c r="H65" s="32"/>
      <c r="I65" s="71"/>
      <c r="J65" s="34"/>
      <c r="K65" s="35"/>
      <c r="L65" s="72"/>
    </row>
    <row r="66" spans="1:12" x14ac:dyDescent="0.25">
      <c r="A66" s="26"/>
      <c r="B66" s="37"/>
      <c r="C66" s="74" t="s">
        <v>65</v>
      </c>
      <c r="D66" s="39">
        <v>4</v>
      </c>
      <c r="E66" s="39">
        <v>13</v>
      </c>
      <c r="F66" s="39">
        <v>2</v>
      </c>
      <c r="G66" s="39"/>
      <c r="H66" s="41">
        <f>D66*IF(OR(E66=0,E66="-"),1,E66)*IF(OR(F66=0,F66="-"),1,F66)*IF(OR(G66=0,G66="-"),1,G66)</f>
        <v>104</v>
      </c>
      <c r="I66" s="42" t="s">
        <v>27</v>
      </c>
      <c r="J66" s="43"/>
      <c r="K66" s="44"/>
      <c r="L66" s="45"/>
    </row>
    <row r="67" spans="1:12" x14ac:dyDescent="0.25">
      <c r="A67" s="26"/>
      <c r="B67" s="37"/>
      <c r="C67" s="113" t="s">
        <v>66</v>
      </c>
      <c r="D67" s="39">
        <v>0</v>
      </c>
      <c r="E67" s="39">
        <v>0</v>
      </c>
      <c r="F67" s="39">
        <v>0</v>
      </c>
      <c r="G67" s="39"/>
      <c r="H67" s="41">
        <f>D67*IF(OR(E67=0,E67="-"),1,E67)*IF(OR(F67=0,F67="-"),1,F67)*IF(OR(G67=0,G67="-"),1,G67)</f>
        <v>0</v>
      </c>
      <c r="I67" s="42" t="s">
        <v>27</v>
      </c>
      <c r="J67" s="43"/>
      <c r="K67" s="44"/>
      <c r="L67" s="45"/>
    </row>
    <row r="68" spans="1:12" x14ac:dyDescent="0.25">
      <c r="A68" s="46"/>
      <c r="B68" s="47"/>
      <c r="C68" s="114"/>
      <c r="D68" s="49"/>
      <c r="E68" s="49"/>
      <c r="F68" s="50" t="s">
        <v>28</v>
      </c>
      <c r="G68" s="50"/>
      <c r="H68" s="51">
        <f>SUM(H66:INDEX(H:H,ROW()-1))</f>
        <v>104</v>
      </c>
      <c r="I68" s="52" t="s">
        <v>27</v>
      </c>
      <c r="J68" s="53"/>
      <c r="K68" s="54"/>
      <c r="L68" s="55"/>
    </row>
    <row r="69" spans="1:12" x14ac:dyDescent="0.25">
      <c r="A69" s="57"/>
      <c r="B69" s="58"/>
      <c r="C69" s="115"/>
      <c r="D69" s="60"/>
      <c r="E69" s="61" t="s">
        <v>29</v>
      </c>
      <c r="F69" s="61"/>
      <c r="G69" s="61"/>
      <c r="H69" s="62">
        <f>ROUND(H68*0.3048,3)</f>
        <v>31.699000000000002</v>
      </c>
      <c r="I69" s="63" t="s">
        <v>30</v>
      </c>
      <c r="J69" s="53"/>
      <c r="K69" s="64"/>
      <c r="L69" s="65"/>
    </row>
    <row r="70" spans="1:12" ht="31.15" customHeight="1" x14ac:dyDescent="0.25">
      <c r="A70" s="78"/>
      <c r="B70" s="79"/>
      <c r="C70" s="116"/>
      <c r="D70" s="81"/>
      <c r="E70" s="119" t="s">
        <v>67</v>
      </c>
      <c r="F70" s="119"/>
      <c r="G70" s="119"/>
      <c r="H70" s="62">
        <f>H69*3.494</f>
        <v>110.75630600000001</v>
      </c>
      <c r="I70" s="83" t="s">
        <v>32</v>
      </c>
      <c r="J70" s="84" t="s">
        <v>68</v>
      </c>
      <c r="K70" s="44"/>
      <c r="L70" s="85"/>
    </row>
    <row r="71" spans="1:12" ht="13.9" customHeight="1" x14ac:dyDescent="0.25">
      <c r="A71" s="66"/>
      <c r="B71" s="67"/>
      <c r="C71" s="120"/>
      <c r="D71" s="69"/>
      <c r="E71" s="69"/>
      <c r="F71" s="70"/>
      <c r="G71" s="69"/>
      <c r="H71" s="32"/>
      <c r="I71" s="71"/>
      <c r="J71" s="34"/>
      <c r="K71" s="35"/>
      <c r="L71" s="72"/>
    </row>
    <row r="72" spans="1:12" x14ac:dyDescent="0.25">
      <c r="A72" s="26"/>
      <c r="B72" s="37"/>
      <c r="C72" s="74" t="s">
        <v>69</v>
      </c>
      <c r="D72" s="39">
        <v>14</v>
      </c>
      <c r="E72" s="39">
        <v>52</v>
      </c>
      <c r="F72" s="40"/>
      <c r="G72" s="39"/>
      <c r="H72" s="41">
        <f>D72*IF(OR(E72=0,E72="-"),1,E72)*IF(OR(F72=0,F72="-"),1,F72)*IF(OR(G72=0,G72="-"),1,G72)</f>
        <v>728</v>
      </c>
      <c r="I72" s="42" t="s">
        <v>27</v>
      </c>
      <c r="J72" s="43"/>
      <c r="K72" s="44"/>
      <c r="L72" s="45"/>
    </row>
    <row r="73" spans="1:12" x14ac:dyDescent="0.25">
      <c r="A73" s="26"/>
      <c r="B73" s="37"/>
      <c r="C73" s="113" t="s">
        <v>66</v>
      </c>
      <c r="D73" s="39">
        <v>0</v>
      </c>
      <c r="E73" s="39">
        <v>0</v>
      </c>
      <c r="F73" s="40"/>
      <c r="G73" s="39"/>
      <c r="H73" s="41">
        <f>D73*IF(OR(E73=0,E73="-"),1,E73)*IF(OR(F73=0,F73="-"),1,F73)*IF(OR(G73=0,G73="-"),1,G73)</f>
        <v>0</v>
      </c>
      <c r="I73" s="42" t="s">
        <v>27</v>
      </c>
      <c r="J73" s="43"/>
      <c r="K73" s="44"/>
      <c r="L73" s="45"/>
    </row>
    <row r="74" spans="1:12" x14ac:dyDescent="0.25">
      <c r="A74" s="46"/>
      <c r="B74" s="47"/>
      <c r="C74" s="114"/>
      <c r="D74" s="49"/>
      <c r="E74" s="49"/>
      <c r="F74" s="50" t="s">
        <v>28</v>
      </c>
      <c r="G74" s="50"/>
      <c r="H74" s="51">
        <f>SUM(H72:INDEX(H:H,ROW()-1))</f>
        <v>728</v>
      </c>
      <c r="I74" s="52" t="s">
        <v>27</v>
      </c>
      <c r="J74" s="53"/>
      <c r="K74" s="54"/>
      <c r="L74" s="55"/>
    </row>
    <row r="75" spans="1:12" x14ac:dyDescent="0.25">
      <c r="A75" s="57"/>
      <c r="B75" s="58"/>
      <c r="C75" s="115"/>
      <c r="D75" s="60"/>
      <c r="E75" s="61" t="s">
        <v>29</v>
      </c>
      <c r="F75" s="61"/>
      <c r="G75" s="61"/>
      <c r="H75" s="62">
        <f>ROUND(H74*0.3048,3)</f>
        <v>221.89400000000001</v>
      </c>
      <c r="I75" s="63" t="s">
        <v>30</v>
      </c>
      <c r="J75" s="53"/>
      <c r="K75" s="64"/>
      <c r="L75" s="65"/>
    </row>
    <row r="76" spans="1:12" ht="31.15" customHeight="1" x14ac:dyDescent="0.25">
      <c r="A76" s="78"/>
      <c r="B76" s="79"/>
      <c r="C76" s="116"/>
      <c r="D76" s="81"/>
      <c r="E76" s="119" t="s">
        <v>67</v>
      </c>
      <c r="F76" s="119"/>
      <c r="G76" s="119"/>
      <c r="H76" s="62">
        <f>H75*3.494</f>
        <v>775.29763600000001</v>
      </c>
      <c r="I76" s="83" t="s">
        <v>32</v>
      </c>
      <c r="J76" s="84" t="s">
        <v>70</v>
      </c>
      <c r="K76" s="44"/>
      <c r="L76" s="85"/>
    </row>
    <row r="77" spans="1:12" ht="13.9" customHeight="1" x14ac:dyDescent="0.25">
      <c r="A77" s="86"/>
      <c r="B77" s="87"/>
      <c r="C77" s="88"/>
      <c r="D77" s="89"/>
      <c r="E77" s="88"/>
      <c r="F77" s="88"/>
      <c r="G77" s="88"/>
      <c r="H77" s="90"/>
      <c r="I77" s="91"/>
      <c r="J77" s="92"/>
      <c r="K77" s="93">
        <f>_xlfn.LET(_xlpm.filteredRates, _xlfn._xlws.FILTER([1]!HSR2023withAmnd[Current Rate],(TRIM([1]!HSR2023withAmnd[Item Name]) = TRIM(B53))*([1]!HSR2023withAmnd[Rate Type]=J78)),IF(COUNT(_xlpm.filteredRates)&gt;1, INDEX(_xlpm.filteredRates,2),))</f>
        <v>0</v>
      </c>
      <c r="L77" s="94"/>
    </row>
    <row r="78" spans="1:12" ht="31.15" customHeight="1" x14ac:dyDescent="0.25">
      <c r="A78" s="95"/>
      <c r="B78" s="96"/>
      <c r="C78" s="97"/>
      <c r="D78" s="96"/>
      <c r="E78" s="98" t="s">
        <v>71</v>
      </c>
      <c r="F78" s="98"/>
      <c r="G78" s="98"/>
      <c r="H78" s="99">
        <f>SUM(H58,H64,H70,H76)</f>
        <v>2341.088534</v>
      </c>
      <c r="I78" s="100" t="s">
        <v>32</v>
      </c>
      <c r="J78" s="101" t="s">
        <v>20</v>
      </c>
      <c r="K78" s="102">
        <f>_xlfn.LET(_xlpm.filteredRates, _xlfn._xlws.FILTER([1]!HSR2023withAmnd[Current Rate],(TRIM([1]!HSR2023withAmnd[Item Name]) = TRIM(B53))*([1]!HSR2023withAmnd[Rate Type]=J78)),IF(COUNT(_xlpm.filteredRates)&gt;=1, INDEX(_xlpm.filteredRates,1),))</f>
        <v>0</v>
      </c>
      <c r="L78" s="103">
        <f>IF(H78*K78&lt;&gt;0,H78*K78,0)</f>
        <v>0</v>
      </c>
    </row>
    <row r="79" spans="1:12" ht="13.9" customHeight="1" x14ac:dyDescent="0.25">
      <c r="A79" s="104"/>
      <c r="B79" s="105"/>
      <c r="C79" s="106"/>
      <c r="D79" s="107"/>
      <c r="E79" s="106"/>
      <c r="F79" s="106"/>
      <c r="G79" s="106"/>
      <c r="H79" s="108"/>
      <c r="I79" s="109"/>
      <c r="J79" s="110"/>
      <c r="K79" s="111"/>
      <c r="L79" s="112"/>
    </row>
    <row r="80" spans="1:12" ht="148.5" x14ac:dyDescent="0.25">
      <c r="A80" s="26">
        <f>IFERROR(LOOKUP(2,1/(ISNUMBER($A$4:$A$79)),$A$4:$A$79),0)+1</f>
        <v>7</v>
      </c>
      <c r="B80" s="73" t="s">
        <v>72</v>
      </c>
      <c r="C80" s="28" t="s">
        <v>73</v>
      </c>
      <c r="D80" s="29"/>
      <c r="E80" s="30"/>
      <c r="F80" s="31"/>
      <c r="G80" s="30"/>
      <c r="H80" s="32"/>
      <c r="I80" s="33"/>
      <c r="J80" s="34"/>
      <c r="K80" s="35"/>
      <c r="L80" s="36"/>
    </row>
    <row r="81" spans="1:12" x14ac:dyDescent="0.25">
      <c r="A81" s="26"/>
      <c r="B81" s="37"/>
      <c r="C81" s="38" t="s">
        <v>74</v>
      </c>
      <c r="D81" s="39">
        <v>1</v>
      </c>
      <c r="E81" s="39">
        <v>42</v>
      </c>
      <c r="F81" s="40">
        <v>52</v>
      </c>
      <c r="G81" s="39"/>
      <c r="H81" s="41">
        <f>D81*IF(OR(E81=0,E81="-"),1,E81)*IF(OR(F81=0,F81="-"),1,F81)*IF(OR(G81=0,G81="-"),1,G81)</f>
        <v>2184</v>
      </c>
      <c r="I81" s="42" t="s">
        <v>52</v>
      </c>
      <c r="J81" s="43"/>
      <c r="K81" s="44"/>
      <c r="L81" s="45"/>
    </row>
    <row r="82" spans="1:12" x14ac:dyDescent="0.25">
      <c r="A82" s="26"/>
      <c r="B82" s="37"/>
      <c r="C82" s="38" t="s">
        <v>75</v>
      </c>
      <c r="D82" s="39">
        <v>2</v>
      </c>
      <c r="E82" s="39">
        <v>40</v>
      </c>
      <c r="F82" s="40">
        <v>3</v>
      </c>
      <c r="G82" s="39"/>
      <c r="H82" s="41">
        <f>D82*IF(OR(E82=0,E82="-"),1,E82)*IF(OR(F82=0,F82="-"),1,F82)*IF(OR(G82=0,G82="-"),1,G82)</f>
        <v>240</v>
      </c>
      <c r="I82" s="42" t="s">
        <v>52</v>
      </c>
      <c r="J82" s="43"/>
      <c r="K82" s="44"/>
      <c r="L82" s="45"/>
    </row>
    <row r="83" spans="1:12" x14ac:dyDescent="0.25">
      <c r="A83" s="26"/>
      <c r="B83" s="37"/>
      <c r="C83" s="38"/>
      <c r="D83" s="39">
        <v>2</v>
      </c>
      <c r="E83" s="39">
        <v>50</v>
      </c>
      <c r="F83" s="40">
        <v>3</v>
      </c>
      <c r="G83" s="39"/>
      <c r="H83" s="41">
        <f>D83*IF(OR(E83=0,E83="-"),1,E83)*IF(OR(F83=0,F83="-"),1,F83)*IF(OR(G83=0,G83="-"),1,G83)</f>
        <v>300</v>
      </c>
      <c r="I83" s="42" t="s">
        <v>52</v>
      </c>
      <c r="J83" s="43"/>
      <c r="K83" s="44"/>
      <c r="L83" s="45"/>
    </row>
    <row r="84" spans="1:12" x14ac:dyDescent="0.25">
      <c r="A84" s="46"/>
      <c r="B84" s="47"/>
      <c r="C84" s="48"/>
      <c r="D84" s="49"/>
      <c r="E84" s="49"/>
      <c r="F84" s="50" t="s">
        <v>53</v>
      </c>
      <c r="G84" s="50"/>
      <c r="H84" s="51">
        <f>SUM(H81:INDEX(H:H,ROW()-1))</f>
        <v>2724</v>
      </c>
      <c r="I84" s="52" t="s">
        <v>52</v>
      </c>
      <c r="J84" s="53"/>
      <c r="K84" s="54">
        <f>_xlfn.LET(_xlpm.filteredRates, _xlfn._xlws.FILTER([1]!HSR2023withAmnd[Current Rate],(TRIM([1]!HSR2023withAmnd[Item Name]) = TRIM(B80))*([1]!HSR2023withAmnd[Rate Type]=J85)),IF(COUNT(_xlpm.filteredRates)&gt;1, INDEX(_xlpm.filteredRates,2),))</f>
        <v>0</v>
      </c>
      <c r="L84" s="55"/>
    </row>
    <row r="85" spans="1:12" s="121" customFormat="1" ht="31.5" x14ac:dyDescent="0.25">
      <c r="A85" s="57" t="s">
        <v>76</v>
      </c>
      <c r="B85" s="58"/>
      <c r="C85" s="59"/>
      <c r="D85" s="60"/>
      <c r="E85" s="61" t="s">
        <v>54</v>
      </c>
      <c r="F85" s="61"/>
      <c r="G85" s="61"/>
      <c r="H85" s="62">
        <f>ROUND(H84*0.0929,3)</f>
        <v>253.06</v>
      </c>
      <c r="I85" s="63" t="s">
        <v>77</v>
      </c>
      <c r="J85" s="53" t="s">
        <v>20</v>
      </c>
      <c r="K85" s="64">
        <f>_xlfn.LET(_xlpm.filteredRates, _xlfn._xlws.FILTER([1]!HSR2023withAmnd[Current Rate],(TRIM([1]!HSR2023withAmnd[Item Name]) = TRIM(B80))*([1]!HSR2023withAmnd[Rate Type]=J85)),IF(COUNT(_xlpm.filteredRates)&gt;=1, INDEX(_xlpm.filteredRates,1),))</f>
        <v>0</v>
      </c>
      <c r="L85" s="65">
        <f>IF(H85*K85&lt;&gt;0,H85*K85,0)</f>
        <v>0</v>
      </c>
    </row>
    <row r="86" spans="1:12" ht="13.9" customHeight="1" thickBot="1" x14ac:dyDescent="0.3">
      <c r="A86" s="122"/>
      <c r="B86" s="123"/>
      <c r="C86" s="124"/>
      <c r="D86" s="125"/>
      <c r="E86" s="125"/>
      <c r="F86" s="126"/>
      <c r="G86" s="125"/>
      <c r="H86" s="126"/>
      <c r="I86" s="127"/>
      <c r="J86" s="128"/>
      <c r="K86" s="129"/>
      <c r="L86" s="130"/>
    </row>
    <row r="87" spans="1:12" ht="16.5" thickTop="1" x14ac:dyDescent="0.25">
      <c r="H87"/>
      <c r="I87"/>
      <c r="J87" s="134" t="s">
        <v>78</v>
      </c>
      <c r="K87" s="135"/>
      <c r="L87" s="136">
        <f>SUM(L5:INDEX(L:L,ROW()-1))</f>
        <v>0</v>
      </c>
    </row>
    <row r="88" spans="1:12" x14ac:dyDescent="0.25">
      <c r="H88"/>
      <c r="I88"/>
      <c r="J88" s="137" t="s">
        <v>79</v>
      </c>
      <c r="K88" s="138"/>
      <c r="L88" s="139">
        <f>$L$87*0.18</f>
        <v>0</v>
      </c>
    </row>
    <row r="89" spans="1:12" x14ac:dyDescent="0.25">
      <c r="H89"/>
      <c r="I89"/>
      <c r="J89" s="137" t="s">
        <v>80</v>
      </c>
      <c r="K89" s="138"/>
      <c r="L89" s="139">
        <f>$L$87+$L$88</f>
        <v>0</v>
      </c>
    </row>
    <row r="90" spans="1:12" x14ac:dyDescent="0.25">
      <c r="H90"/>
      <c r="I90"/>
      <c r="J90" s="137" t="s">
        <v>81</v>
      </c>
      <c r="K90" s="138"/>
      <c r="L90" s="139">
        <f>$L$89*0.01</f>
        <v>0</v>
      </c>
    </row>
    <row r="91" spans="1:12" ht="16.5" thickBot="1" x14ac:dyDescent="0.3">
      <c r="H91"/>
      <c r="I91"/>
      <c r="J91" s="140" t="s">
        <v>82</v>
      </c>
      <c r="K91" s="141"/>
      <c r="L91" s="142">
        <f>$L$89+$L$90</f>
        <v>0</v>
      </c>
    </row>
    <row r="92" spans="1:12" ht="39.75" thickTop="1" x14ac:dyDescent="0.25">
      <c r="H92"/>
      <c r="I92" s="143" t="s">
        <v>83</v>
      </c>
      <c r="J92" s="144" t="str">
        <f>IF(L91&gt;=10000000,ROUND(L91/10000000,2)&amp;" Crore",IF(L91&gt;=100000,ROUND(L91/100000,2)&amp;" Lakh",IF(L91&gt;=1000,ROUND(L91/1000,2)&amp;" Thousand",ROUND(L91,0)))) &amp; " Only"</f>
        <v>0 Only</v>
      </c>
      <c r="K92" s="145"/>
      <c r="L92" s="145"/>
    </row>
    <row r="93" spans="1:12" x14ac:dyDescent="0.25"/>
    <row r="94" spans="1:12" x14ac:dyDescent="0.25"/>
    <row r="95" spans="1:12" x14ac:dyDescent="0.25"/>
    <row r="103" spans="5:13" ht="15.6" hidden="1" customHeight="1" x14ac:dyDescent="0.25">
      <c r="E103" s="149"/>
      <c r="F103" s="149"/>
      <c r="G103" s="149"/>
      <c r="H103" s="150"/>
      <c r="I103" s="151"/>
      <c r="J103" s="149"/>
      <c r="K103" s="149"/>
      <c r="L103" s="149"/>
      <c r="M103"/>
    </row>
    <row r="104" spans="5:13" ht="15.6" hidden="1" customHeight="1" x14ac:dyDescent="0.25">
      <c r="E104" s="149"/>
      <c r="F104" s="149"/>
      <c r="G104" s="149"/>
      <c r="H104" s="150"/>
      <c r="I104" s="151"/>
      <c r="J104" s="149"/>
      <c r="K104" s="149"/>
      <c r="L104" s="149"/>
      <c r="M104"/>
    </row>
    <row r="105" spans="5:13" ht="15.6" hidden="1" customHeight="1" x14ac:dyDescent="0.25">
      <c r="E105" s="149"/>
      <c r="F105" s="149"/>
      <c r="G105" s="149"/>
      <c r="H105" s="150"/>
      <c r="I105" s="151"/>
      <c r="J105" s="149"/>
      <c r="K105" s="149"/>
      <c r="L105" s="149"/>
      <c r="M105"/>
    </row>
    <row r="106" spans="5:13" ht="15.6" hidden="1" customHeight="1" x14ac:dyDescent="0.25">
      <c r="E106" s="149"/>
      <c r="F106" s="149"/>
      <c r="G106" s="149"/>
      <c r="H106" s="150"/>
      <c r="I106" s="151"/>
      <c r="J106" s="149"/>
      <c r="K106" s="149"/>
      <c r="L106" s="149"/>
      <c r="M106"/>
    </row>
    <row r="107" spans="5:13" ht="15.6" hidden="1" customHeight="1" x14ac:dyDescent="0.25">
      <c r="E107" s="149"/>
      <c r="F107" s="149"/>
      <c r="G107" s="149"/>
      <c r="H107" s="150"/>
      <c r="I107" s="151"/>
      <c r="J107" s="149"/>
      <c r="K107" s="149"/>
      <c r="L107" s="149"/>
      <c r="M107"/>
    </row>
    <row r="108" spans="5:13" ht="15.6" hidden="1" customHeight="1" x14ac:dyDescent="0.25">
      <c r="E108" s="149"/>
      <c r="F108" s="149"/>
      <c r="G108" s="149"/>
      <c r="H108" s="150"/>
      <c r="I108" s="151"/>
      <c r="J108" s="149"/>
      <c r="K108" s="149"/>
      <c r="L108" s="149"/>
      <c r="M108"/>
    </row>
    <row r="109" spans="5:13" ht="15.6" hidden="1" customHeight="1" x14ac:dyDescent="0.25">
      <c r="E109" s="149"/>
      <c r="F109" s="149"/>
      <c r="G109" s="149"/>
      <c r="H109" s="150"/>
      <c r="I109" s="151"/>
      <c r="J109" s="149"/>
      <c r="K109" s="149"/>
      <c r="L109" s="149"/>
      <c r="M109"/>
    </row>
    <row r="110" spans="5:13" ht="15.6" hidden="1" customHeight="1" x14ac:dyDescent="0.25">
      <c r="E110" s="149"/>
      <c r="F110" s="149"/>
      <c r="G110" s="149"/>
      <c r="H110" s="150"/>
      <c r="I110" s="151"/>
      <c r="J110" s="149"/>
      <c r="K110" s="149"/>
      <c r="L110" s="149"/>
      <c r="M110"/>
    </row>
    <row r="111" spans="5:13" ht="15.6" hidden="1" customHeight="1" x14ac:dyDescent="0.25">
      <c r="E111" s="149"/>
      <c r="F111" s="149"/>
      <c r="G111" s="149"/>
      <c r="H111" s="150"/>
      <c r="I111" s="151"/>
      <c r="J111" s="149"/>
      <c r="K111" s="149"/>
      <c r="L111" s="149"/>
      <c r="M111"/>
    </row>
    <row r="112" spans="5:13" ht="15.6" hidden="1" customHeight="1" x14ac:dyDescent="0.25">
      <c r="E112" s="149"/>
      <c r="F112" s="149"/>
      <c r="G112" s="149"/>
      <c r="H112" s="150"/>
      <c r="I112" s="151"/>
      <c r="J112" s="149"/>
      <c r="K112" s="149"/>
      <c r="L112" s="149"/>
      <c r="M112"/>
    </row>
    <row r="113" spans="5:13" ht="15.6" hidden="1" customHeight="1" x14ac:dyDescent="0.25">
      <c r="E113" s="149"/>
      <c r="F113" s="149"/>
      <c r="G113" s="149"/>
      <c r="H113" s="150"/>
      <c r="I113" s="151"/>
      <c r="J113" s="149"/>
      <c r="K113" s="149"/>
      <c r="L113" s="149"/>
      <c r="M113"/>
    </row>
    <row r="114" spans="5:13" ht="15.6" hidden="1" customHeight="1" x14ac:dyDescent="0.25">
      <c r="E114" s="149"/>
      <c r="F114" s="149"/>
      <c r="G114" s="149"/>
      <c r="H114" s="150"/>
      <c r="I114" s="151"/>
      <c r="J114" s="149"/>
      <c r="K114" s="149"/>
      <c r="L114" s="149"/>
      <c r="M114"/>
    </row>
    <row r="115" spans="5:13" ht="15.6" hidden="1" customHeight="1" x14ac:dyDescent="0.25">
      <c r="E115" s="149"/>
      <c r="F115" s="149"/>
      <c r="G115" s="149"/>
      <c r="H115" s="150"/>
      <c r="I115" s="151"/>
      <c r="J115" s="149"/>
      <c r="K115" s="149"/>
      <c r="L115" s="149"/>
      <c r="M115"/>
    </row>
    <row r="116" spans="5:13" ht="15.6" hidden="1" customHeight="1" x14ac:dyDescent="0.25">
      <c r="E116" s="149"/>
      <c r="F116" s="149"/>
      <c r="G116" s="149"/>
      <c r="H116" s="150"/>
      <c r="I116" s="151"/>
      <c r="J116" s="149"/>
      <c r="K116" s="149"/>
      <c r="L116" s="149"/>
      <c r="M116"/>
    </row>
    <row r="117" spans="5:13" ht="15.6" hidden="1" customHeight="1" x14ac:dyDescent="0.25">
      <c r="E117" s="149"/>
      <c r="F117" s="149"/>
      <c r="G117" s="149"/>
      <c r="H117" s="150"/>
      <c r="I117" s="151"/>
      <c r="J117" s="149"/>
      <c r="K117" s="149"/>
      <c r="L117" s="149"/>
      <c r="M117"/>
    </row>
    <row r="118" spans="5:13" ht="15.6" hidden="1" customHeight="1" x14ac:dyDescent="0.25">
      <c r="E118" s="149"/>
      <c r="F118" s="149"/>
      <c r="G118" s="149"/>
      <c r="H118" s="150"/>
      <c r="I118" s="151"/>
      <c r="J118" s="149"/>
      <c r="K118" s="149"/>
      <c r="L118" s="149"/>
      <c r="M118"/>
    </row>
    <row r="119" spans="5:13" ht="15.6" hidden="1" customHeight="1" x14ac:dyDescent="0.25">
      <c r="E119" s="149"/>
      <c r="F119" s="149"/>
      <c r="G119" s="149"/>
      <c r="H119" s="150"/>
      <c r="I119" s="151"/>
      <c r="J119" s="149"/>
      <c r="K119" s="149"/>
      <c r="L119" s="149"/>
      <c r="M119"/>
    </row>
    <row r="120" spans="5:13" ht="15.6" hidden="1" customHeight="1" x14ac:dyDescent="0.25">
      <c r="E120" s="149"/>
      <c r="F120" s="149"/>
      <c r="G120" s="149"/>
      <c r="H120" s="150"/>
      <c r="I120" s="151"/>
      <c r="J120" s="149"/>
      <c r="K120" s="149"/>
      <c r="L120" s="149"/>
      <c r="M120"/>
    </row>
    <row r="121" spans="5:13" ht="15.6" hidden="1" customHeight="1" x14ac:dyDescent="0.25">
      <c r="E121" s="149"/>
      <c r="F121" s="149"/>
      <c r="G121" s="149"/>
      <c r="H121" s="150"/>
      <c r="I121" s="151"/>
      <c r="J121" s="149"/>
      <c r="K121" s="149"/>
      <c r="L121" s="149"/>
      <c r="M121"/>
    </row>
    <row r="122" spans="5:13" ht="15.6" hidden="1" customHeight="1" x14ac:dyDescent="0.25">
      <c r="E122" s="149"/>
      <c r="F122" s="149"/>
      <c r="G122" s="149"/>
      <c r="H122" s="150"/>
      <c r="I122" s="151"/>
      <c r="J122" s="149"/>
      <c r="K122" s="149"/>
      <c r="L122" s="149"/>
      <c r="M122"/>
    </row>
    <row r="123" spans="5:13" ht="15.6" hidden="1" customHeight="1" x14ac:dyDescent="0.25">
      <c r="E123" s="149"/>
      <c r="F123" s="149"/>
      <c r="G123" s="149"/>
      <c r="H123" s="150"/>
      <c r="I123" s="151"/>
      <c r="J123" s="149"/>
      <c r="K123" s="149"/>
      <c r="L123" s="149"/>
      <c r="M123"/>
    </row>
    <row r="124" spans="5:13" ht="15.6" hidden="1" customHeight="1" x14ac:dyDescent="0.25">
      <c r="E124" s="149"/>
      <c r="F124" s="149"/>
      <c r="G124" s="149"/>
      <c r="H124" s="150"/>
      <c r="I124" s="151"/>
      <c r="J124" s="149"/>
      <c r="K124" s="149"/>
      <c r="L124" s="149"/>
      <c r="M124"/>
    </row>
    <row r="125" spans="5:13" ht="15.6" hidden="1" customHeight="1" x14ac:dyDescent="0.25">
      <c r="E125" s="149"/>
      <c r="F125" s="149"/>
      <c r="G125" s="149"/>
      <c r="H125" s="150"/>
      <c r="I125" s="151"/>
      <c r="J125" s="149"/>
      <c r="K125" s="149"/>
      <c r="L125" s="149"/>
      <c r="M125"/>
    </row>
    <row r="126" spans="5:13" ht="15.6" hidden="1" customHeight="1" x14ac:dyDescent="0.25">
      <c r="E126" s="149"/>
      <c r="F126" s="149"/>
      <c r="G126" s="149"/>
      <c r="H126" s="150"/>
      <c r="I126" s="151"/>
      <c r="J126" s="149"/>
      <c r="K126" s="149"/>
      <c r="L126" s="149"/>
      <c r="M126"/>
    </row>
    <row r="127" spans="5:13" ht="15.6" hidden="1" customHeight="1" x14ac:dyDescent="0.25">
      <c r="E127" s="149"/>
      <c r="F127" s="149"/>
      <c r="G127" s="149"/>
      <c r="H127" s="150"/>
      <c r="I127" s="151"/>
      <c r="J127" s="149"/>
      <c r="K127" s="149"/>
      <c r="L127" s="149"/>
      <c r="M127"/>
    </row>
    <row r="128" spans="5:13" ht="15.6" hidden="1" customHeight="1" x14ac:dyDescent="0.25">
      <c r="E128" s="149"/>
      <c r="F128" s="149"/>
      <c r="G128" s="149"/>
      <c r="H128" s="150"/>
      <c r="I128" s="151"/>
      <c r="J128" s="149"/>
      <c r="K128" s="149"/>
      <c r="L128" s="149"/>
      <c r="M128"/>
    </row>
    <row r="129" spans="5:13" ht="15.6" hidden="1" customHeight="1" x14ac:dyDescent="0.25">
      <c r="E129" s="149"/>
      <c r="F129" s="149"/>
      <c r="G129" s="149"/>
      <c r="H129" s="150"/>
      <c r="I129" s="151"/>
      <c r="J129" s="149"/>
      <c r="K129" s="149"/>
      <c r="L129" s="149"/>
      <c r="M129"/>
    </row>
    <row r="130" spans="5:13" ht="15.6" hidden="1" customHeight="1" x14ac:dyDescent="0.25">
      <c r="E130" s="149"/>
      <c r="F130" s="149"/>
      <c r="G130" s="149"/>
      <c r="H130" s="150"/>
      <c r="I130" s="151"/>
      <c r="J130" s="149"/>
      <c r="K130" s="149"/>
      <c r="L130" s="149"/>
      <c r="M130"/>
    </row>
    <row r="131" spans="5:13" ht="15.6" hidden="1" customHeight="1" x14ac:dyDescent="0.25">
      <c r="E131" s="149"/>
      <c r="F131" s="149"/>
      <c r="G131" s="149"/>
      <c r="H131" s="150"/>
      <c r="I131" s="151"/>
      <c r="J131" s="149"/>
      <c r="K131" s="149"/>
      <c r="L131" s="149"/>
      <c r="M131"/>
    </row>
    <row r="132" spans="5:13" ht="15.6" hidden="1" customHeight="1" x14ac:dyDescent="0.25">
      <c r="E132" s="149"/>
      <c r="F132" s="149"/>
      <c r="G132" s="149"/>
      <c r="H132" s="150"/>
      <c r="I132" s="151"/>
      <c r="J132" s="149"/>
      <c r="K132" s="149"/>
      <c r="L132" s="149"/>
      <c r="M132"/>
    </row>
    <row r="133" spans="5:13" ht="15.6" hidden="1" customHeight="1" x14ac:dyDescent="0.25">
      <c r="E133" s="149"/>
      <c r="F133" s="149"/>
      <c r="G133" s="149"/>
      <c r="H133" s="150"/>
      <c r="I133" s="151"/>
      <c r="J133" s="149"/>
      <c r="K133" s="149"/>
      <c r="L133" s="149"/>
      <c r="M133"/>
    </row>
    <row r="134" spans="5:13" ht="15.6" hidden="1" customHeight="1" x14ac:dyDescent="0.25">
      <c r="E134" s="149"/>
      <c r="F134" s="149"/>
      <c r="G134" s="149"/>
      <c r="H134" s="150"/>
      <c r="I134" s="151"/>
      <c r="J134" s="149"/>
      <c r="K134" s="149"/>
      <c r="L134" s="149"/>
      <c r="M134"/>
    </row>
    <row r="135" spans="5:13" ht="15.6" hidden="1" customHeight="1" x14ac:dyDescent="0.25">
      <c r="E135" s="149"/>
      <c r="F135" s="149"/>
      <c r="G135" s="149"/>
      <c r="H135" s="150"/>
      <c r="I135" s="151"/>
      <c r="J135" s="149"/>
      <c r="K135" s="149"/>
      <c r="L135" s="149"/>
      <c r="M135"/>
    </row>
    <row r="136" spans="5:13" ht="15.6" hidden="1" customHeight="1" x14ac:dyDescent="0.25">
      <c r="E136" s="149"/>
      <c r="F136" s="149"/>
      <c r="G136" s="149"/>
      <c r="H136" s="150"/>
      <c r="I136" s="151"/>
      <c r="J136" s="149"/>
      <c r="K136" s="149"/>
      <c r="L136" s="149"/>
      <c r="M136"/>
    </row>
    <row r="137" spans="5:13" ht="15.6" hidden="1" customHeight="1" x14ac:dyDescent="0.25">
      <c r="E137" s="149"/>
      <c r="F137" s="149"/>
      <c r="G137" s="149"/>
      <c r="H137" s="150"/>
      <c r="I137" s="151"/>
      <c r="J137" s="149"/>
      <c r="K137" s="149"/>
      <c r="L137" s="149"/>
      <c r="M137"/>
    </row>
    <row r="138" spans="5:13" ht="15.6" hidden="1" customHeight="1" x14ac:dyDescent="0.25">
      <c r="E138" s="149"/>
      <c r="F138" s="149"/>
      <c r="G138" s="149"/>
      <c r="H138" s="150"/>
      <c r="I138" s="151"/>
      <c r="J138" s="149"/>
      <c r="K138" s="149"/>
      <c r="L138" s="149"/>
      <c r="M138"/>
    </row>
    <row r="139" spans="5:13" ht="15.6" hidden="1" customHeight="1" x14ac:dyDescent="0.25">
      <c r="E139" s="149"/>
      <c r="F139" s="149"/>
      <c r="G139" s="149"/>
      <c r="H139" s="150"/>
      <c r="I139" s="151"/>
      <c r="J139" s="149"/>
      <c r="K139" s="149"/>
      <c r="L139" s="149"/>
      <c r="M139"/>
    </row>
    <row r="140" spans="5:13" ht="15.6" hidden="1" customHeight="1" x14ac:dyDescent="0.25">
      <c r="E140" s="149"/>
      <c r="F140" s="149"/>
      <c r="G140" s="149"/>
      <c r="H140" s="150"/>
      <c r="I140" s="151"/>
      <c r="J140" s="149"/>
      <c r="K140" s="149"/>
      <c r="L140" s="149"/>
      <c r="M140"/>
    </row>
    <row r="141" spans="5:13" ht="15.6" hidden="1" customHeight="1" x14ac:dyDescent="0.25">
      <c r="E141" s="149"/>
      <c r="F141" s="149"/>
      <c r="G141" s="149"/>
      <c r="H141" s="150"/>
      <c r="I141" s="151"/>
      <c r="J141" s="149"/>
      <c r="K141" s="149"/>
      <c r="L141" s="149"/>
      <c r="M141"/>
    </row>
    <row r="142" spans="5:13" ht="15.6" hidden="1" customHeight="1" x14ac:dyDescent="0.25">
      <c r="E142" s="149"/>
      <c r="F142" s="149"/>
      <c r="G142" s="149"/>
      <c r="H142" s="150"/>
      <c r="I142" s="151"/>
      <c r="J142" s="149"/>
      <c r="K142" s="149"/>
      <c r="L142" s="149"/>
      <c r="M142"/>
    </row>
    <row r="143" spans="5:13" ht="15.6" hidden="1" customHeight="1" x14ac:dyDescent="0.25">
      <c r="E143" s="149"/>
      <c r="F143" s="149"/>
      <c r="G143" s="149"/>
      <c r="H143" s="150"/>
      <c r="I143" s="151"/>
      <c r="J143" s="149"/>
      <c r="K143" s="149"/>
      <c r="L143" s="149"/>
      <c r="M143"/>
    </row>
    <row r="144" spans="5:13" ht="15.6" hidden="1" customHeight="1" x14ac:dyDescent="0.25">
      <c r="E144" s="149"/>
      <c r="F144" s="149"/>
      <c r="G144" s="149"/>
      <c r="H144" s="150"/>
      <c r="I144" s="151"/>
      <c r="J144" s="149"/>
      <c r="K144" s="149"/>
      <c r="L144" s="149"/>
      <c r="M144"/>
    </row>
    <row r="145" spans="5:13" ht="15.6" hidden="1" customHeight="1" x14ac:dyDescent="0.25">
      <c r="E145" s="149"/>
      <c r="F145" s="149"/>
      <c r="G145" s="149"/>
      <c r="H145" s="150"/>
      <c r="I145" s="151"/>
      <c r="J145" s="149"/>
      <c r="K145" s="149"/>
      <c r="L145" s="149"/>
      <c r="M145"/>
    </row>
    <row r="146" spans="5:13" ht="15.6" hidden="1" customHeight="1" x14ac:dyDescent="0.25">
      <c r="E146" s="149"/>
      <c r="F146" s="149"/>
      <c r="G146" s="149"/>
      <c r="H146" s="150"/>
      <c r="I146" s="151"/>
      <c r="J146" s="149"/>
      <c r="K146" s="149"/>
      <c r="L146" s="149"/>
      <c r="M146"/>
    </row>
    <row r="147" spans="5:13" ht="15.6" hidden="1" customHeight="1" x14ac:dyDescent="0.25">
      <c r="E147" s="149"/>
      <c r="F147" s="149"/>
      <c r="G147" s="149"/>
      <c r="H147" s="150"/>
      <c r="I147" s="151"/>
      <c r="J147" s="149"/>
      <c r="K147" s="149"/>
      <c r="L147" s="149"/>
      <c r="M147"/>
    </row>
    <row r="148" spans="5:13" ht="15.6" hidden="1" customHeight="1" x14ac:dyDescent="0.25">
      <c r="E148" s="149"/>
      <c r="F148" s="149"/>
      <c r="G148" s="149"/>
      <c r="H148" s="150"/>
      <c r="I148" s="151"/>
      <c r="J148" s="149"/>
      <c r="K148" s="149"/>
      <c r="L148" s="149"/>
      <c r="M148"/>
    </row>
    <row r="149" spans="5:13" ht="15.6" hidden="1" customHeight="1" x14ac:dyDescent="0.25">
      <c r="E149" s="149"/>
      <c r="F149" s="149"/>
      <c r="G149" s="149"/>
      <c r="H149" s="150"/>
      <c r="I149" s="151"/>
      <c r="J149" s="149"/>
      <c r="K149" s="149"/>
      <c r="L149" s="149"/>
      <c r="M149"/>
    </row>
    <row r="150" spans="5:13" ht="15.6" hidden="1" customHeight="1" x14ac:dyDescent="0.25">
      <c r="E150" s="149"/>
      <c r="F150" s="149"/>
      <c r="G150" s="149"/>
      <c r="H150" s="150"/>
      <c r="I150" s="151"/>
      <c r="J150" s="149"/>
      <c r="K150" s="149"/>
      <c r="L150" s="149"/>
      <c r="M150"/>
    </row>
    <row r="151" spans="5:13" ht="15.6" hidden="1" customHeight="1" x14ac:dyDescent="0.25">
      <c r="E151" s="149"/>
      <c r="F151" s="149"/>
      <c r="G151" s="149"/>
      <c r="H151" s="150"/>
      <c r="I151" s="151"/>
      <c r="J151" s="149"/>
      <c r="K151" s="149"/>
      <c r="L151" s="149"/>
      <c r="M151"/>
    </row>
    <row r="152" spans="5:13" ht="15.6" hidden="1" customHeight="1" x14ac:dyDescent="0.25">
      <c r="E152" s="149"/>
      <c r="F152" s="149"/>
      <c r="G152" s="149"/>
      <c r="H152" s="150"/>
      <c r="I152" s="151"/>
      <c r="J152" s="149"/>
      <c r="K152" s="149"/>
      <c r="L152" s="149"/>
      <c r="M152"/>
    </row>
    <row r="153" spans="5:13" ht="15.6" hidden="1" customHeight="1" x14ac:dyDescent="0.25">
      <c r="E153" s="149"/>
      <c r="F153" s="149"/>
      <c r="G153" s="149"/>
      <c r="H153" s="150"/>
      <c r="I153" s="151"/>
      <c r="J153" s="149"/>
      <c r="K153" s="149"/>
      <c r="L153" s="149"/>
      <c r="M153"/>
    </row>
    <row r="154" spans="5:13" ht="15.6" hidden="1" customHeight="1" x14ac:dyDescent="0.25">
      <c r="E154" s="149"/>
      <c r="F154" s="149"/>
      <c r="G154" s="149"/>
      <c r="H154" s="150"/>
      <c r="I154" s="151"/>
      <c r="J154" s="149"/>
      <c r="K154" s="149"/>
      <c r="L154" s="149"/>
      <c r="M154"/>
    </row>
    <row r="155" spans="5:13" ht="15.6" hidden="1" customHeight="1" x14ac:dyDescent="0.25">
      <c r="E155" s="149"/>
      <c r="F155" s="149"/>
      <c r="G155" s="149"/>
      <c r="H155" s="150"/>
      <c r="I155" s="151"/>
      <c r="J155" s="149"/>
      <c r="K155" s="149"/>
      <c r="L155" s="149"/>
      <c r="M155"/>
    </row>
    <row r="156" spans="5:13" ht="15.6" hidden="1" customHeight="1" x14ac:dyDescent="0.25">
      <c r="E156" s="149"/>
      <c r="F156" s="149"/>
      <c r="G156" s="149"/>
      <c r="H156" s="150"/>
      <c r="I156" s="151"/>
      <c r="J156" s="149"/>
      <c r="K156" s="149"/>
      <c r="L156" s="149"/>
      <c r="M156"/>
    </row>
    <row r="157" spans="5:13" ht="15.6" hidden="1" customHeight="1" x14ac:dyDescent="0.25">
      <c r="E157" s="149"/>
      <c r="F157" s="149"/>
      <c r="G157" s="149"/>
      <c r="H157" s="150"/>
      <c r="I157" s="151"/>
      <c r="J157" s="149"/>
      <c r="K157" s="149"/>
      <c r="L157" s="149"/>
      <c r="M157"/>
    </row>
    <row r="158" spans="5:13" ht="15.6" hidden="1" customHeight="1" x14ac:dyDescent="0.25">
      <c r="E158" s="149"/>
      <c r="F158" s="149"/>
      <c r="G158" s="149"/>
      <c r="H158" s="150"/>
      <c r="I158" s="151"/>
      <c r="J158" s="149"/>
      <c r="K158" s="149"/>
      <c r="L158" s="149"/>
      <c r="M158"/>
    </row>
    <row r="159" spans="5:13" ht="15.6" hidden="1" customHeight="1" x14ac:dyDescent="0.25">
      <c r="E159" s="149"/>
      <c r="F159" s="149"/>
      <c r="G159" s="149"/>
      <c r="H159" s="150"/>
      <c r="I159" s="151"/>
      <c r="J159" s="149"/>
      <c r="K159" s="149"/>
      <c r="L159" s="149"/>
      <c r="M159"/>
    </row>
    <row r="160" spans="5:13" ht="15.6" hidden="1" customHeight="1" x14ac:dyDescent="0.25">
      <c r="E160" s="149"/>
      <c r="F160" s="149"/>
      <c r="G160" s="149"/>
      <c r="H160" s="150"/>
      <c r="I160" s="151"/>
      <c r="J160" s="149"/>
      <c r="K160" s="149"/>
      <c r="L160" s="149"/>
      <c r="M160"/>
    </row>
    <row r="161" spans="5:13" ht="15.6" hidden="1" customHeight="1" x14ac:dyDescent="0.25">
      <c r="E161" s="149"/>
      <c r="F161" s="149"/>
      <c r="G161" s="149"/>
      <c r="H161" s="150"/>
      <c r="I161" s="151"/>
      <c r="J161" s="149"/>
      <c r="K161" s="149"/>
      <c r="L161" s="149"/>
      <c r="M161"/>
    </row>
    <row r="162" spans="5:13" ht="15.6" hidden="1" customHeight="1" x14ac:dyDescent="0.25">
      <c r="E162" s="149"/>
      <c r="F162" s="149"/>
      <c r="G162" s="149"/>
      <c r="H162" s="150"/>
      <c r="I162" s="151"/>
      <c r="J162" s="149"/>
      <c r="K162" s="149"/>
      <c r="L162" s="149"/>
      <c r="M162"/>
    </row>
    <row r="163" spans="5:13" ht="15.6" hidden="1" customHeight="1" x14ac:dyDescent="0.25">
      <c r="E163" s="149"/>
      <c r="F163" s="149"/>
      <c r="G163" s="149"/>
      <c r="H163" s="150"/>
      <c r="I163" s="151"/>
      <c r="J163" s="149"/>
      <c r="K163" s="149"/>
      <c r="L163" s="149"/>
      <c r="M163"/>
    </row>
    <row r="164" spans="5:13" ht="15.6" hidden="1" customHeight="1" x14ac:dyDescent="0.25">
      <c r="E164" s="149"/>
      <c r="F164" s="149"/>
      <c r="G164" s="149"/>
      <c r="H164" s="150"/>
      <c r="I164" s="151"/>
      <c r="J164" s="149"/>
      <c r="K164" s="149"/>
      <c r="L164" s="149"/>
      <c r="M164"/>
    </row>
    <row r="165" spans="5:13" ht="15.6" hidden="1" customHeight="1" x14ac:dyDescent="0.25">
      <c r="E165" s="149"/>
      <c r="F165" s="149"/>
      <c r="G165" s="149"/>
      <c r="H165" s="150"/>
      <c r="I165" s="151"/>
      <c r="J165" s="149"/>
      <c r="K165" s="149"/>
      <c r="L165" s="149"/>
      <c r="M165"/>
    </row>
    <row r="166" spans="5:13" ht="15.6" hidden="1" customHeight="1" x14ac:dyDescent="0.25">
      <c r="E166" s="149"/>
      <c r="F166" s="149"/>
      <c r="G166" s="149"/>
      <c r="H166" s="150"/>
      <c r="I166" s="151"/>
      <c r="J166" s="149"/>
      <c r="K166" s="149"/>
      <c r="L166" s="149"/>
      <c r="M166"/>
    </row>
    <row r="167" spans="5:13" ht="15.6" hidden="1" customHeight="1" x14ac:dyDescent="0.25">
      <c r="E167" s="149"/>
      <c r="F167" s="149"/>
      <c r="G167" s="149"/>
      <c r="H167" s="150"/>
      <c r="I167" s="151"/>
      <c r="J167" s="149"/>
      <c r="K167" s="149"/>
      <c r="L167" s="149"/>
      <c r="M167"/>
    </row>
    <row r="168" spans="5:13" ht="15.6" hidden="1" customHeight="1" x14ac:dyDescent="0.25">
      <c r="E168" s="149"/>
      <c r="F168" s="149"/>
      <c r="G168" s="149"/>
      <c r="H168" s="150"/>
      <c r="I168" s="151"/>
      <c r="J168" s="149"/>
      <c r="K168" s="149"/>
      <c r="L168" s="149"/>
      <c r="M168"/>
    </row>
    <row r="169" spans="5:13" ht="15.6" hidden="1" customHeight="1" x14ac:dyDescent="0.25">
      <c r="E169" s="149"/>
      <c r="F169" s="149"/>
      <c r="G169" s="149"/>
      <c r="H169" s="150"/>
      <c r="I169" s="151"/>
      <c r="J169" s="149"/>
      <c r="K169" s="149"/>
      <c r="L169" s="149"/>
      <c r="M169"/>
    </row>
    <row r="170" spans="5:13" ht="15.6" hidden="1" customHeight="1" x14ac:dyDescent="0.25">
      <c r="E170" s="149"/>
      <c r="F170" s="149"/>
      <c r="G170" s="149"/>
      <c r="H170" s="150"/>
      <c r="I170" s="151"/>
      <c r="J170" s="149"/>
      <c r="K170" s="149"/>
      <c r="L170" s="149"/>
      <c r="M170"/>
    </row>
    <row r="171" spans="5:13" ht="15.6" hidden="1" customHeight="1" x14ac:dyDescent="0.25">
      <c r="E171" s="149"/>
      <c r="F171" s="149"/>
      <c r="G171" s="149"/>
      <c r="H171" s="150"/>
      <c r="I171" s="151"/>
      <c r="J171" s="149"/>
      <c r="K171" s="149"/>
      <c r="L171" s="149"/>
      <c r="M171"/>
    </row>
    <row r="172" spans="5:13" ht="15.6" hidden="1" customHeight="1" x14ac:dyDescent="0.25">
      <c r="E172" s="149"/>
      <c r="F172" s="149"/>
      <c r="G172" s="149"/>
      <c r="H172" s="150"/>
      <c r="I172" s="151"/>
      <c r="J172" s="149"/>
      <c r="K172" s="149"/>
      <c r="L172" s="149"/>
      <c r="M172"/>
    </row>
    <row r="173" spans="5:13" ht="15.6" hidden="1" customHeight="1" x14ac:dyDescent="0.25">
      <c r="E173" s="149"/>
      <c r="F173" s="149"/>
      <c r="G173" s="149"/>
      <c r="H173" s="150"/>
      <c r="I173" s="151"/>
      <c r="J173" s="149"/>
      <c r="K173" s="149"/>
      <c r="L173" s="149"/>
      <c r="M173"/>
    </row>
    <row r="174" spans="5:13" ht="15.6" hidden="1" customHeight="1" x14ac:dyDescent="0.25">
      <c r="E174" s="149"/>
      <c r="F174" s="149"/>
      <c r="G174" s="149"/>
      <c r="H174" s="150"/>
      <c r="I174" s="151"/>
      <c r="J174" s="149"/>
      <c r="K174" s="149"/>
      <c r="L174" s="149"/>
      <c r="M174"/>
    </row>
    <row r="175" spans="5:13" ht="15.6" hidden="1" customHeight="1" x14ac:dyDescent="0.25">
      <c r="E175" s="149"/>
      <c r="F175" s="149"/>
      <c r="G175" s="149"/>
      <c r="H175" s="150"/>
      <c r="I175" s="151"/>
      <c r="J175" s="149"/>
      <c r="K175" s="149"/>
      <c r="L175" s="149"/>
      <c r="M175"/>
    </row>
    <row r="176" spans="5:13" ht="15.6" hidden="1" customHeight="1" x14ac:dyDescent="0.25">
      <c r="E176" s="149"/>
      <c r="F176" s="149"/>
      <c r="G176" s="149"/>
      <c r="H176" s="150"/>
      <c r="I176" s="151"/>
      <c r="J176" s="149"/>
      <c r="K176" s="149"/>
      <c r="L176" s="149"/>
      <c r="M176"/>
    </row>
    <row r="177" spans="3:14" ht="15.6" hidden="1" customHeight="1" x14ac:dyDescent="0.25">
      <c r="E177" s="149"/>
      <c r="F177" s="149"/>
      <c r="G177" s="149"/>
      <c r="H177" s="150"/>
      <c r="I177" s="151"/>
      <c r="J177" s="149"/>
      <c r="K177" s="149"/>
      <c r="L177" s="149"/>
      <c r="M177"/>
    </row>
    <row r="178" spans="3:14" ht="15.6" hidden="1" customHeight="1" x14ac:dyDescent="0.25">
      <c r="E178" s="149"/>
      <c r="F178" s="149"/>
      <c r="G178" s="149"/>
      <c r="H178" s="150"/>
      <c r="I178" s="151"/>
      <c r="J178" s="149"/>
      <c r="K178" s="149"/>
      <c r="L178" s="149"/>
      <c r="M178"/>
    </row>
    <row r="179" spans="3:14" ht="15.6" hidden="1" customHeight="1" x14ac:dyDescent="0.25">
      <c r="E179" s="149"/>
      <c r="F179" s="149"/>
      <c r="G179" s="149"/>
      <c r="H179" s="150"/>
      <c r="I179" s="151"/>
      <c r="J179" s="149"/>
      <c r="K179" s="149"/>
      <c r="L179" s="149"/>
      <c r="M179"/>
    </row>
    <row r="182" spans="3:14" s="131" customFormat="1" hidden="1" x14ac:dyDescent="0.25">
      <c r="C182" s="121"/>
      <c r="D182" s="132"/>
      <c r="E182" s="132"/>
      <c r="F182" s="133"/>
      <c r="G182" s="132"/>
      <c r="H182" s="133"/>
      <c r="I182" s="146"/>
      <c r="J182" s="121"/>
      <c r="K182" s="147"/>
      <c r="L182" s="148"/>
      <c r="M182" s="4"/>
      <c r="N182" s="4"/>
    </row>
    <row r="183" spans="3:14" s="131" customFormat="1" hidden="1" x14ac:dyDescent="0.25">
      <c r="C183" s="121"/>
      <c r="D183" s="132"/>
      <c r="E183" s="132"/>
      <c r="F183" s="133"/>
      <c r="G183" s="132"/>
      <c r="H183" s="133"/>
      <c r="I183" s="146"/>
      <c r="J183" s="121"/>
      <c r="K183" s="147"/>
      <c r="L183" s="148"/>
      <c r="M183" s="4"/>
      <c r="N183" s="4"/>
    </row>
    <row r="184" spans="3:14" s="131" customFormat="1" hidden="1" x14ac:dyDescent="0.25">
      <c r="C184" s="121"/>
      <c r="D184" s="132"/>
      <c r="E184" s="132"/>
      <c r="F184" s="133"/>
      <c r="G184" s="132"/>
      <c r="H184" s="133"/>
      <c r="I184" s="146"/>
      <c r="J184" s="121"/>
      <c r="K184" s="147"/>
      <c r="L184" s="148"/>
      <c r="M184" s="4"/>
      <c r="N184" s="4"/>
    </row>
    <row r="185" spans="3:14" s="131" customFormat="1" hidden="1" x14ac:dyDescent="0.25">
      <c r="C185" s="121"/>
      <c r="D185" s="132"/>
      <c r="E185" s="132"/>
      <c r="F185" s="133"/>
      <c r="G185" s="132"/>
      <c r="H185" s="133"/>
      <c r="I185" s="146"/>
      <c r="J185" s="121"/>
      <c r="K185" s="147"/>
      <c r="L185" s="148"/>
      <c r="M185" s="4"/>
      <c r="N185" s="4"/>
    </row>
    <row r="186" spans="3:14" s="131" customFormat="1" hidden="1" x14ac:dyDescent="0.25">
      <c r="C186" s="121"/>
      <c r="D186" s="132"/>
      <c r="E186" s="132"/>
      <c r="F186" s="133"/>
      <c r="G186" s="132"/>
      <c r="H186" s="133"/>
      <c r="I186" s="146"/>
      <c r="J186" s="121"/>
      <c r="K186" s="147"/>
      <c r="L186" s="148"/>
      <c r="M186" s="4"/>
      <c r="N186" s="4"/>
    </row>
    <row r="187" spans="3:14" s="131" customFormat="1" hidden="1" x14ac:dyDescent="0.25">
      <c r="C187" s="121"/>
      <c r="D187" s="132"/>
      <c r="E187" s="132"/>
      <c r="F187" s="133"/>
      <c r="G187" s="132"/>
      <c r="H187" s="133"/>
      <c r="I187" s="146"/>
      <c r="J187" s="121"/>
      <c r="K187" s="147"/>
      <c r="L187" s="148"/>
      <c r="M187" s="4"/>
      <c r="N187" s="4"/>
    </row>
    <row r="188" spans="3:14" s="131" customFormat="1" hidden="1" x14ac:dyDescent="0.25">
      <c r="C188" s="121"/>
      <c r="D188" s="132"/>
      <c r="E188" s="132"/>
      <c r="F188" s="133"/>
      <c r="G188" s="132"/>
      <c r="H188" s="133"/>
      <c r="I188" s="146"/>
      <c r="J188" s="121"/>
      <c r="K188" s="147"/>
      <c r="L188" s="148"/>
      <c r="M188" s="4"/>
      <c r="N188" s="4"/>
    </row>
    <row r="189" spans="3:14" s="131" customFormat="1" hidden="1" x14ac:dyDescent="0.25">
      <c r="C189" s="121"/>
      <c r="D189" s="132"/>
      <c r="E189" s="132"/>
      <c r="F189" s="133"/>
      <c r="G189" s="132"/>
      <c r="H189" s="133"/>
      <c r="I189" s="146"/>
      <c r="J189" s="121"/>
      <c r="K189" s="147"/>
      <c r="L189" s="148"/>
      <c r="M189" s="4"/>
      <c r="N189" s="4"/>
    </row>
    <row r="268" x14ac:dyDescent="0.25"/>
    <row r="269" x14ac:dyDescent="0.25"/>
  </sheetData>
  <mergeCells count="36">
    <mergeCell ref="F74:G74"/>
    <mergeCell ref="E75:G75"/>
    <mergeCell ref="E76:G76"/>
    <mergeCell ref="E78:G78"/>
    <mergeCell ref="F84:G84"/>
    <mergeCell ref="E85:G85"/>
    <mergeCell ref="F62:G62"/>
    <mergeCell ref="E63:G63"/>
    <mergeCell ref="E64:G64"/>
    <mergeCell ref="F68:G68"/>
    <mergeCell ref="E69:G69"/>
    <mergeCell ref="E70:G70"/>
    <mergeCell ref="E48:G48"/>
    <mergeCell ref="E49:G49"/>
    <mergeCell ref="E51:G51"/>
    <mergeCell ref="F56:G56"/>
    <mergeCell ref="E57:G57"/>
    <mergeCell ref="E58:G58"/>
    <mergeCell ref="F34:G34"/>
    <mergeCell ref="E35:G35"/>
    <mergeCell ref="F40:G40"/>
    <mergeCell ref="E41:G41"/>
    <mergeCell ref="E42:G42"/>
    <mergeCell ref="F47:G47"/>
    <mergeCell ref="E21:G21"/>
    <mergeCell ref="E22:G22"/>
    <mergeCell ref="F26:G26"/>
    <mergeCell ref="E27:G27"/>
    <mergeCell ref="E28:G28"/>
    <mergeCell ref="E30:G30"/>
    <mergeCell ref="A1:L3"/>
    <mergeCell ref="F8:G8"/>
    <mergeCell ref="E9:G9"/>
    <mergeCell ref="F13:G13"/>
    <mergeCell ref="E14:G14"/>
    <mergeCell ref="F20:G20"/>
  </mergeCells>
  <conditionalFormatting sqref="K8">
    <cfRule type="expression" dxfId="11" priority="12" stopIfTrue="1">
      <formula>AND(ISNUMBER(K8),K8&lt;&gt;0)</formula>
    </cfRule>
  </conditionalFormatting>
  <conditionalFormatting sqref="K13">
    <cfRule type="expression" dxfId="10" priority="11" stopIfTrue="1">
      <formula>AND(ISNUMBER(K13),K13&lt;&gt;0)</formula>
    </cfRule>
  </conditionalFormatting>
  <conditionalFormatting sqref="K29">
    <cfRule type="expression" dxfId="9" priority="10" stopIfTrue="1">
      <formula>AND(ISNUMBER(K29),K29&lt;&gt;0)</formula>
    </cfRule>
  </conditionalFormatting>
  <conditionalFormatting sqref="K34">
    <cfRule type="expression" dxfId="8" priority="9" stopIfTrue="1">
      <formula>AND(ISNUMBER(K34),K34&lt;&gt;0)</formula>
    </cfRule>
  </conditionalFormatting>
  <conditionalFormatting sqref="K43">
    <cfRule type="expression" dxfId="7" priority="5" stopIfTrue="1">
      <formula>AND(ISNUMBER(K43),K43&lt;&gt;0)</formula>
    </cfRule>
  </conditionalFormatting>
  <conditionalFormatting sqref="K50">
    <cfRule type="expression" dxfId="6" priority="8" stopIfTrue="1">
      <formula>AND(ISNUMBER(K50),K50&lt;&gt;0)</formula>
    </cfRule>
  </conditionalFormatting>
  <conditionalFormatting sqref="K56">
    <cfRule type="expression" dxfId="5" priority="4" stopIfTrue="1">
      <formula>AND(ISNUMBER(K56),K56&lt;&gt;0)</formula>
    </cfRule>
  </conditionalFormatting>
  <conditionalFormatting sqref="K62">
    <cfRule type="expression" dxfId="4" priority="3" stopIfTrue="1">
      <formula>AND(ISNUMBER(K62),K62&lt;&gt;0)</formula>
    </cfRule>
  </conditionalFormatting>
  <conditionalFormatting sqref="K68">
    <cfRule type="expression" dxfId="3" priority="2" stopIfTrue="1">
      <formula>AND(ISNUMBER(K68),K68&lt;&gt;0)</formula>
    </cfRule>
  </conditionalFormatting>
  <conditionalFormatting sqref="K74">
    <cfRule type="expression" dxfId="2" priority="1" stopIfTrue="1">
      <formula>AND(ISNUMBER(K74),K74&lt;&gt;0)</formula>
    </cfRule>
  </conditionalFormatting>
  <conditionalFormatting sqref="K77">
    <cfRule type="expression" dxfId="1" priority="7" stopIfTrue="1">
      <formula>AND(ISNUMBER(K77),K77&lt;&gt;0)</formula>
    </cfRule>
  </conditionalFormatting>
  <conditionalFormatting sqref="K84">
    <cfRule type="expression" dxfId="0" priority="6" stopIfTrue="1">
      <formula>AND(ISNUMBER(K84),K84&lt;&gt;0)</formula>
    </cfRule>
  </conditionalFormatting>
  <dataValidations count="3">
    <dataValidation type="list" allowBlank="1" showInputMessage="1" showErrorMessage="1" sqref="J30" xr:uid="{2A8DE939-51EA-4A75-90B6-ACE26276A049}">
      <formula1>"Through rates Amnd,Through Rate,Material rates Amnd,Material Rate,Labour rates Amnd,Labour Rate"</formula1>
    </dataValidation>
    <dataValidation type="list" allowBlank="1" showInputMessage="1" showErrorMessage="1" sqref="J35 J78 J51 J85 J14" xr:uid="{C2D57112-159D-4C7B-A05C-D4C6877183DB}">
      <formula1>"Through Rate,Material Rate,Labour Rate"</formula1>
    </dataValidation>
    <dataValidation type="list" allowBlank="1" showInputMessage="1" showErrorMessage="1" sqref="J9" xr:uid="{8BEA42EE-FD83-4DD7-B441-2ECC0839210C}">
      <formula1>"Through Rate,Labour Rate,Machinery Rate"</formula1>
    </dataValidation>
  </dataValidations>
  <pageMargins left="0.35" right="0.37" top="0.55000000000000004" bottom="0.54" header="0.3" footer="0.3"/>
  <pageSetup paperSize="9" scale="6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Iron shed40x50 </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2026-01-26T12:04:55Z</dcterms:created>
  <dcterms:modified xsi:type="dcterms:W3CDTF">2026-01-26T12:04:56Z</dcterms:modified>
</cp:coreProperties>
</file>