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g\AppData\Local\MRGARGSIRTools\MyTemplates\"/>
    </mc:Choice>
  </mc:AlternateContent>
  <xr:revisionPtr revIDLastSave="0" documentId="8_{E3B8BA39-3C00-428F-A4DB-6D201D334050}" xr6:coauthVersionLast="47" xr6:coauthVersionMax="47" xr10:uidLastSave="{00000000-0000-0000-0000-000000000000}"/>
  <bookViews>
    <workbookView xWindow="-120" yWindow="-120" windowWidth="29040" windowHeight="15840" xr2:uid="{3BF927DA-96AE-45FD-AE26-6EEFB419D710}"/>
  </bookViews>
  <sheets>
    <sheet name="Brick Rasta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5" i="2" l="1"/>
  <c r="K24" i="2"/>
  <c r="H23" i="2"/>
  <c r="H24" i="2" s="1"/>
  <c r="H25" i="2" s="1"/>
  <c r="L25" i="2" s="1"/>
  <c r="K20" i="2"/>
  <c r="K19" i="2"/>
  <c r="H18" i="2"/>
  <c r="H17" i="2"/>
  <c r="H16" i="2"/>
  <c r="H15" i="2"/>
  <c r="H19" i="2" s="1"/>
  <c r="H20" i="2" s="1"/>
  <c r="L20" i="2" s="1"/>
  <c r="K12" i="2"/>
  <c r="K11" i="2"/>
  <c r="H10" i="2"/>
  <c r="H9" i="2"/>
  <c r="H8" i="2"/>
  <c r="H7" i="2"/>
  <c r="H11" i="2" s="1"/>
  <c r="H12" i="2" s="1"/>
  <c r="L12" i="2" s="1"/>
  <c r="L27" i="2" s="1"/>
  <c r="A6" i="2"/>
  <c r="A14" i="2" s="1"/>
  <c r="A22" i="2" s="1"/>
  <c r="L28" i="2" l="1"/>
  <c r="L29" i="2"/>
  <c r="L30" i="2" l="1"/>
  <c r="L31" i="2" s="1"/>
  <c r="J33" i="2" s="1"/>
</calcChain>
</file>

<file path=xl/sharedStrings.xml><?xml version="1.0" encoding="utf-8"?>
<sst xmlns="http://schemas.openxmlformats.org/spreadsheetml/2006/main" count="51" uniqueCount="36">
  <si>
    <t>Pavement of Brick Rasta</t>
  </si>
  <si>
    <t>Sr No</t>
  </si>
  <si>
    <t>HSR
Item No</t>
  </si>
  <si>
    <t>Description</t>
  </si>
  <si>
    <t>Nos</t>
  </si>
  <si>
    <t>Length</t>
  </si>
  <si>
    <t>Breadth</t>
  </si>
  <si>
    <t>Depth</t>
  </si>
  <si>
    <t>Quantity</t>
  </si>
  <si>
    <t>Unit</t>
  </si>
  <si>
    <t>Rate Type</t>
  </si>
  <si>
    <t>Rate</t>
  </si>
  <si>
    <t>Amount</t>
  </si>
  <si>
    <t>14.1</t>
  </si>
  <si>
    <t xml:space="preserve">14.1: Lining and Outlets A Lining Dressing bed and preparation of sub grade for lining by mechanical/ mannual means
</t>
  </si>
  <si>
    <t>sft</t>
  </si>
  <si>
    <t>Total (sft)</t>
  </si>
  <si>
    <t>Total (sqm)</t>
  </si>
  <si>
    <t>sqm</t>
  </si>
  <si>
    <t>Through Rate</t>
  </si>
  <si>
    <t>10.34</t>
  </si>
  <si>
    <t xml:space="preserve">10.34: Flooring and Dados BRICK FLOORING Providing and laying dry brick on edge flooring in required pattern with bricks of class designation 7.5 on a bed of 12 mm mud mortar, including filling joints with Jamuna sand, with common burnt clay non modular bricks.
</t>
  </si>
  <si>
    <t>10.36</t>
  </si>
  <si>
    <t xml:space="preserve">10.36: Flooring and Dados BRICK FLOORING Brick on end in soil/edging in required pattern with bricks of class designation
</t>
  </si>
  <si>
    <t>rft</t>
  </si>
  <si>
    <t>Total (rft)</t>
  </si>
  <si>
    <t>End</t>
  </si>
  <si>
    <t>Total (meter)</t>
  </si>
  <si>
    <t>rmt</t>
  </si>
  <si>
    <t>Total</t>
  </si>
  <si>
    <t>Add 18% GST</t>
  </si>
  <si>
    <t>Total Amount</t>
  </si>
  <si>
    <t>Add 1% Contigency</t>
  </si>
  <si>
    <t>GRAND TOTAL</t>
  </si>
  <si>
    <t xml:space="preserve"> .</t>
  </si>
  <si>
    <t xml:space="preserve">Say Rs.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</si>
</sst>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;\-#,##0;&quot;&quot;"/>
    <numFmt numFmtId="166" formatCode="_(* #,##0_);_(* \(#,##0\);_(* &quot;-&quot;??_);_(@_)"/>
    <numFmt numFmtId="167" formatCode="0.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i/>
      <sz val="10"/>
      <color rgb="FF0064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i/>
      <sz val="10"/>
      <color rgb="FF0064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4"/>
      <color rgb="FF000000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C8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E6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FFDC"/>
        <bgColor indexed="64"/>
      </patternFill>
    </fill>
    <fill>
      <patternFill patternType="solid">
        <fgColor rgb="FFDCE6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3" fillId="0" borderId="9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center" wrapText="1"/>
    </xf>
    <xf numFmtId="1" fontId="3" fillId="3" borderId="10" xfId="0" applyNumberFormat="1" applyFont="1" applyFill="1" applyBorder="1" applyAlignment="1">
      <alignment horizontal="center" vertical="center" wrapText="1"/>
    </xf>
    <xf numFmtId="1" fontId="3" fillId="4" borderId="10" xfId="0" applyNumberFormat="1" applyFont="1" applyFill="1" applyBorder="1" applyAlignment="1">
      <alignment horizontal="right" vertical="center" wrapText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1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2" fontId="8" fillId="2" borderId="13" xfId="0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left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right" vertical="center"/>
    </xf>
    <xf numFmtId="1" fontId="5" fillId="0" borderId="14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right" vertical="center" wrapText="1"/>
    </xf>
    <xf numFmtId="0" fontId="5" fillId="0" borderId="10" xfId="0" applyFont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right" vertical="center"/>
    </xf>
    <xf numFmtId="1" fontId="5" fillId="0" borderId="11" xfId="0" applyNumberFormat="1" applyFont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right" vertical="center" wrapText="1"/>
    </xf>
    <xf numFmtId="0" fontId="5" fillId="6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 wrapText="1"/>
    </xf>
    <xf numFmtId="165" fontId="5" fillId="4" borderId="10" xfId="0" applyNumberFormat="1" applyFont="1" applyFill="1" applyBorder="1" applyAlignment="1">
      <alignment horizontal="right" vertical="center"/>
    </xf>
    <xf numFmtId="1" fontId="5" fillId="6" borderId="11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right" vertical="center"/>
    </xf>
    <xf numFmtId="166" fontId="5" fillId="7" borderId="11" xfId="0" applyNumberFormat="1" applyFont="1" applyFill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right" vertical="center"/>
    </xf>
    <xf numFmtId="0" fontId="5" fillId="8" borderId="10" xfId="0" applyFont="1" applyFill="1" applyBorder="1" applyAlignment="1">
      <alignment horizontal="left" vertical="center"/>
    </xf>
    <xf numFmtId="1" fontId="5" fillId="8" borderId="11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right" vertical="center"/>
    </xf>
    <xf numFmtId="167" fontId="5" fillId="2" borderId="10" xfId="0" applyNumberFormat="1" applyFont="1" applyFill="1" applyBorder="1" applyAlignment="1">
      <alignment horizontal="right" vertical="center" wrapText="1"/>
    </xf>
    <xf numFmtId="164" fontId="5" fillId="2" borderId="10" xfId="0" applyNumberFormat="1" applyFont="1" applyFill="1" applyBorder="1" applyAlignment="1">
      <alignment horizontal="righ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5" fillId="4" borderId="13" xfId="0" applyFont="1" applyFill="1" applyBorder="1" applyAlignment="1">
      <alignment horizontal="right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0" fontId="1" fillId="6" borderId="10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right" vertical="center"/>
    </xf>
    <xf numFmtId="0" fontId="1" fillId="6" borderId="10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165" fontId="1" fillId="4" borderId="10" xfId="0" applyNumberFormat="1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right" vertical="center"/>
    </xf>
    <xf numFmtId="166" fontId="1" fillId="7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0" fillId="8" borderId="16" xfId="0" applyFill="1" applyBorder="1" applyAlignment="1">
      <alignment vertical="center"/>
    </xf>
    <xf numFmtId="0" fontId="0" fillId="8" borderId="16" xfId="0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9" borderId="18" xfId="0" applyFont="1" applyFill="1" applyBorder="1" applyAlignment="1">
      <alignment horizontal="centerContinuous" vertical="center"/>
    </xf>
    <xf numFmtId="0" fontId="12" fillId="9" borderId="19" xfId="0" applyFont="1" applyFill="1" applyBorder="1" applyAlignment="1">
      <alignment horizontal="centerContinuous"/>
    </xf>
    <xf numFmtId="166" fontId="12" fillId="9" borderId="20" xfId="0" applyNumberFormat="1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Continuous" vertical="center"/>
    </xf>
    <xf numFmtId="0" fontId="12" fillId="9" borderId="13" xfId="0" applyFont="1" applyFill="1" applyBorder="1" applyAlignment="1">
      <alignment horizontal="centerContinuous"/>
    </xf>
    <xf numFmtId="166" fontId="12" fillId="9" borderId="14" xfId="0" applyNumberFormat="1" applyFon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centerContinuous" vertical="center"/>
    </xf>
    <xf numFmtId="0" fontId="12" fillId="9" borderId="23" xfId="0" applyFont="1" applyFill="1" applyBorder="1" applyAlignment="1">
      <alignment horizontal="centerContinuous"/>
    </xf>
    <xf numFmtId="166" fontId="12" fillId="9" borderId="2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Continuous" vertical="center" wrapText="1"/>
    </xf>
    <xf numFmtId="0" fontId="15" fillId="0" borderId="0" xfId="0" applyFont="1" applyAlignment="1">
      <alignment horizontal="centerContinuous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vertical="center"/>
    </xf>
  </cellXfs>
  <cellStyles count="2">
    <cellStyle name="Normal" xfId="0" builtinId="0"/>
    <cellStyle name="Normal 7 2" xfId="1" xr:uid="{45613850-497D-42CA-BE5A-1513CBBE6DD6}"/>
  </cellStyles>
  <dxfs count="4">
    <dxf>
      <fill>
        <patternFill>
          <bgColor rgb="FFFA0000"/>
        </patternFill>
      </fill>
    </dxf>
    <dxf>
      <fill>
        <patternFill>
          <bgColor rgb="FFFA0000"/>
        </patternFill>
      </fill>
    </dxf>
    <dxf>
      <fill>
        <patternFill>
          <bgColor rgb="FFFA0000"/>
        </patternFill>
      </fill>
    </dxf>
    <dxf>
      <fill>
        <patternFill>
          <bgColor rgb="FFFA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F9A7-D08E-4045-9F66-78E310DE5A2C}">
  <sheetPr>
    <tabColor rgb="FF92D050"/>
  </sheetPr>
  <dimension ref="A1:O145"/>
  <sheetViews>
    <sheetView showGridLines="0" tabSelected="1" zoomScaleNormal="100" zoomScaleSheetLayoutView="115" workbookViewId="0">
      <pane ySplit="4" topLeftCell="A5" activePane="bottomLeft" state="frozen"/>
      <selection pane="bottomLeft" activeCell="E7" sqref="E7"/>
    </sheetView>
  </sheetViews>
  <sheetFormatPr defaultColWidth="0" defaultRowHeight="15" zeroHeight="1" x14ac:dyDescent="0.25"/>
  <cols>
    <col min="1" max="2" width="10.7109375" style="94" customWidth="1"/>
    <col min="3" max="3" width="69.7109375" style="88" customWidth="1"/>
    <col min="4" max="4" width="10.7109375" style="95" customWidth="1"/>
    <col min="5" max="7" width="10.7109375" style="88" customWidth="1"/>
    <col min="8" max="8" width="10.7109375" style="95" customWidth="1"/>
    <col min="9" max="9" width="10.7109375" style="110" customWidth="1"/>
    <col min="10" max="10" width="10.7109375" style="88" customWidth="1"/>
    <col min="11" max="11" width="10.7109375" style="95" customWidth="1"/>
    <col min="12" max="12" width="10.42578125" style="111" bestFit="1" customWidth="1"/>
    <col min="13" max="13" width="12.140625" bestFit="1" customWidth="1"/>
    <col min="14" max="14" width="5.7109375" customWidth="1"/>
    <col min="15" max="15" width="28.5703125" hidden="1"/>
    <col min="16" max="16384" width="9.140625" hidden="1"/>
  </cols>
  <sheetData>
    <row r="1" spans="1:12" ht="14.4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4.4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14.45" customHeight="1" thickBot="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s="13" customFormat="1" ht="38.25" thickTop="1" x14ac:dyDescent="0.3">
      <c r="A4" s="7" t="s">
        <v>1</v>
      </c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9" t="s">
        <v>7</v>
      </c>
      <c r="H4" s="10" t="s">
        <v>8</v>
      </c>
      <c r="I4" s="9" t="s">
        <v>9</v>
      </c>
      <c r="J4" s="11" t="s">
        <v>10</v>
      </c>
      <c r="K4" s="11" t="s">
        <v>11</v>
      </c>
      <c r="L4" s="12" t="s">
        <v>12</v>
      </c>
    </row>
    <row r="5" spans="1:12" s="13" customFormat="1" ht="18.75" x14ac:dyDescent="0.3">
      <c r="A5" s="14"/>
      <c r="B5" s="15"/>
      <c r="C5" s="16"/>
      <c r="D5" s="16"/>
      <c r="E5" s="16"/>
      <c r="F5" s="17"/>
      <c r="G5" s="16"/>
      <c r="H5" s="18"/>
      <c r="I5" s="19"/>
      <c r="J5" s="20"/>
      <c r="K5" s="21"/>
      <c r="L5" s="22"/>
    </row>
    <row r="6" spans="1:12" ht="40.5" x14ac:dyDescent="0.25">
      <c r="A6" s="23">
        <f>IFERROR(LOOKUP(2,1/(ISNUMBER($A$4:$A$5)),$A$4:$A$5),0)+1</f>
        <v>1</v>
      </c>
      <c r="B6" s="24" t="s">
        <v>13</v>
      </c>
      <c r="C6" s="25" t="s">
        <v>14</v>
      </c>
      <c r="D6" s="26"/>
      <c r="E6" s="27"/>
      <c r="F6" s="27"/>
      <c r="G6" s="27"/>
      <c r="H6" s="28"/>
      <c r="I6" s="29"/>
      <c r="J6" s="30"/>
      <c r="K6" s="31"/>
      <c r="L6" s="32"/>
    </row>
    <row r="7" spans="1:12" ht="15.75" x14ac:dyDescent="0.25">
      <c r="A7" s="23"/>
      <c r="B7" s="33"/>
      <c r="C7" s="34"/>
      <c r="D7" s="35">
        <v>1</v>
      </c>
      <c r="E7" s="36">
        <v>400</v>
      </c>
      <c r="F7" s="36">
        <v>15</v>
      </c>
      <c r="G7" s="36"/>
      <c r="H7" s="37">
        <f>D7*IF(OR(E7=0,E7="-"),1,E7)*IF(OR(F7=0,F7="-"),1,F7)*IF(OR(G7=0,G7="-"),1,G7)</f>
        <v>6000</v>
      </c>
      <c r="I7" s="38" t="s">
        <v>15</v>
      </c>
      <c r="J7" s="39"/>
      <c r="K7" s="40"/>
      <c r="L7" s="41"/>
    </row>
    <row r="8" spans="1:12" ht="15.75" x14ac:dyDescent="0.25">
      <c r="A8" s="23"/>
      <c r="B8" s="33"/>
      <c r="C8" s="34"/>
      <c r="D8" s="35">
        <v>1</v>
      </c>
      <c r="E8" s="36">
        <v>400</v>
      </c>
      <c r="F8" s="36">
        <v>15.5</v>
      </c>
      <c r="G8" s="36"/>
      <c r="H8" s="37">
        <f>D8*IF(OR(E8=0,E8="-"),1,E8)*IF(OR(F8=0,F8="-"),1,F8)*IF(OR(G8=0,G8="-"),1,G8)</f>
        <v>6200</v>
      </c>
      <c r="I8" s="38" t="s">
        <v>15</v>
      </c>
      <c r="J8" s="39"/>
      <c r="K8" s="40"/>
      <c r="L8" s="41"/>
    </row>
    <row r="9" spans="1:12" ht="15.75" x14ac:dyDescent="0.25">
      <c r="A9" s="23"/>
      <c r="B9" s="33"/>
      <c r="C9" s="34"/>
      <c r="D9" s="35">
        <v>1</v>
      </c>
      <c r="E9" s="36">
        <v>120</v>
      </c>
      <c r="F9" s="36">
        <v>15</v>
      </c>
      <c r="G9" s="36"/>
      <c r="H9" s="37">
        <f>D9*IF(OR(E9=0,E9="-"),1,E9)*IF(OR(F9=0,F9="-"),1,F9)*IF(OR(G9=0,G9="-"),1,G9)</f>
        <v>1800</v>
      </c>
      <c r="I9" s="38" t="s">
        <v>15</v>
      </c>
      <c r="J9" s="39"/>
      <c r="K9" s="40"/>
      <c r="L9" s="41"/>
    </row>
    <row r="10" spans="1:12" ht="15.75" x14ac:dyDescent="0.25">
      <c r="A10" s="23"/>
      <c r="B10" s="33"/>
      <c r="C10" s="34"/>
      <c r="D10" s="35">
        <v>1</v>
      </c>
      <c r="E10" s="36">
        <v>100</v>
      </c>
      <c r="F10" s="36">
        <v>15</v>
      </c>
      <c r="G10" s="36"/>
      <c r="H10" s="37">
        <f>D10*IF(OR(E10=0,E10="-"),1,E10)*IF(OR(F10=0,F10="-"),1,F10)*IF(OR(G10=0,G10="-"),1,G10)</f>
        <v>1500</v>
      </c>
      <c r="I10" s="38" t="s">
        <v>15</v>
      </c>
      <c r="J10" s="39"/>
      <c r="K10" s="40"/>
      <c r="L10" s="41"/>
    </row>
    <row r="11" spans="1:12" ht="15.75" x14ac:dyDescent="0.25">
      <c r="A11" s="42"/>
      <c r="B11" s="43"/>
      <c r="C11" s="44"/>
      <c r="D11" s="43"/>
      <c r="E11" s="43"/>
      <c r="F11" s="45" t="s">
        <v>16</v>
      </c>
      <c r="G11" s="45"/>
      <c r="H11" s="46">
        <f>SUM(H7:H10)</f>
        <v>15500</v>
      </c>
      <c r="I11" s="47" t="s">
        <v>15</v>
      </c>
      <c r="J11" s="48"/>
      <c r="K11" s="49">
        <f>0</f>
        <v>0</v>
      </c>
      <c r="L11" s="50"/>
    </row>
    <row r="12" spans="1:12" ht="31.5" x14ac:dyDescent="0.25">
      <c r="A12" s="51"/>
      <c r="B12" s="52"/>
      <c r="C12" s="53"/>
      <c r="D12" s="52"/>
      <c r="E12" s="54" t="s">
        <v>17</v>
      </c>
      <c r="F12" s="54"/>
      <c r="G12" s="54"/>
      <c r="H12" s="55">
        <f>ROUND(H11*0.0929,3)</f>
        <v>1439.95</v>
      </c>
      <c r="I12" s="53" t="s">
        <v>18</v>
      </c>
      <c r="J12" s="48" t="s">
        <v>19</v>
      </c>
      <c r="K12" s="56">
        <f>IF(B6="14.1",IF(J12="Labour Rate",4,IF(J12="Through Rate",4,0)),"")</f>
        <v>4</v>
      </c>
      <c r="L12" s="57">
        <f>IF(H12*K12&lt;&gt;0,H12*K12,0)</f>
        <v>5759.8</v>
      </c>
    </row>
    <row r="13" spans="1:12" ht="14.1" customHeight="1" x14ac:dyDescent="0.25">
      <c r="A13" s="58"/>
      <c r="B13" s="59"/>
      <c r="C13" s="60"/>
      <c r="D13" s="61"/>
      <c r="E13" s="61"/>
      <c r="F13" s="61"/>
      <c r="G13" s="61"/>
      <c r="H13" s="62"/>
      <c r="I13" s="63"/>
      <c r="J13" s="39"/>
      <c r="K13" s="40"/>
      <c r="L13" s="64"/>
    </row>
    <row r="14" spans="1:12" ht="63.75" x14ac:dyDescent="0.25">
      <c r="A14" s="23">
        <f>IFERROR(LOOKUP(2,1/(ISNUMBER($A$4:$A$13)),$A$4:$A$13),0)+1</f>
        <v>2</v>
      </c>
      <c r="B14" s="24" t="s">
        <v>20</v>
      </c>
      <c r="C14" s="65" t="s">
        <v>21</v>
      </c>
      <c r="D14" s="26"/>
      <c r="E14" s="27"/>
      <c r="F14" s="27"/>
      <c r="G14" s="27"/>
      <c r="H14" s="28"/>
      <c r="I14" s="29"/>
      <c r="J14" s="30"/>
      <c r="K14" s="31"/>
      <c r="L14" s="32"/>
    </row>
    <row r="15" spans="1:12" ht="15.75" x14ac:dyDescent="0.25">
      <c r="A15" s="23"/>
      <c r="B15" s="33"/>
      <c r="C15" s="34"/>
      <c r="D15" s="35">
        <v>1</v>
      </c>
      <c r="E15" s="36">
        <v>400</v>
      </c>
      <c r="F15" s="36">
        <v>15</v>
      </c>
      <c r="G15" s="66"/>
      <c r="H15" s="67">
        <f>D15*IF(OR(E15=0,E15="-"),1,E15)*IF(OR(F15=0,F15="-"),1,F15)*IF(OR(G15=0,G15="-"),1,G15)</f>
        <v>6000</v>
      </c>
      <c r="I15" s="38" t="s">
        <v>15</v>
      </c>
      <c r="J15" s="39"/>
      <c r="K15" s="40"/>
      <c r="L15" s="41"/>
    </row>
    <row r="16" spans="1:12" ht="15.75" x14ac:dyDescent="0.25">
      <c r="A16" s="23"/>
      <c r="B16" s="33"/>
      <c r="C16" s="34"/>
      <c r="D16" s="35">
        <v>1</v>
      </c>
      <c r="E16" s="36">
        <v>400</v>
      </c>
      <c r="F16" s="36">
        <v>15.5</v>
      </c>
      <c r="G16" s="66"/>
      <c r="H16" s="67">
        <f>D16*IF(OR(E16=0,E16="-"),1,E16)*IF(OR(F16=0,F16="-"),1,F16)*IF(OR(G16=0,G16="-"),1,G16)</f>
        <v>6200</v>
      </c>
      <c r="I16" s="38" t="s">
        <v>15</v>
      </c>
      <c r="J16" s="39"/>
      <c r="K16" s="40"/>
      <c r="L16" s="41"/>
    </row>
    <row r="17" spans="1:12" ht="15.75" x14ac:dyDescent="0.25">
      <c r="A17" s="23"/>
      <c r="B17" s="33"/>
      <c r="C17" s="34"/>
      <c r="D17" s="35">
        <v>1</v>
      </c>
      <c r="E17" s="36">
        <v>120</v>
      </c>
      <c r="F17" s="36">
        <v>15</v>
      </c>
      <c r="G17" s="66"/>
      <c r="H17" s="67">
        <f>D17*IF(OR(E17=0,E17="-"),1,E17)*IF(OR(F17=0,F17="-"),1,F17)*IF(OR(G17=0,G17="-"),1,G17)</f>
        <v>1800</v>
      </c>
      <c r="I17" s="38" t="s">
        <v>15</v>
      </c>
      <c r="J17" s="39"/>
      <c r="K17" s="40"/>
      <c r="L17" s="41"/>
    </row>
    <row r="18" spans="1:12" ht="15.75" x14ac:dyDescent="0.25">
      <c r="A18" s="23"/>
      <c r="B18" s="33"/>
      <c r="C18" s="34"/>
      <c r="D18" s="35">
        <v>1</v>
      </c>
      <c r="E18" s="36">
        <v>100</v>
      </c>
      <c r="F18" s="36">
        <v>15</v>
      </c>
      <c r="G18" s="66"/>
      <c r="H18" s="67">
        <f>D18*IF(OR(E18=0,E18="-"),1,E18)*IF(OR(F18=0,F18="-"),1,F18)*IF(OR(G18=0,G18="-"),1,G18)</f>
        <v>1500</v>
      </c>
      <c r="I18" s="38" t="s">
        <v>15</v>
      </c>
      <c r="J18" s="39"/>
      <c r="K18" s="40"/>
      <c r="L18" s="41"/>
    </row>
    <row r="19" spans="1:12" ht="13.9" customHeight="1" x14ac:dyDescent="0.25">
      <c r="A19" s="42"/>
      <c r="B19" s="43"/>
      <c r="C19" s="44"/>
      <c r="D19" s="43"/>
      <c r="E19" s="43"/>
      <c r="F19" s="45" t="s">
        <v>16</v>
      </c>
      <c r="G19" s="45"/>
      <c r="H19" s="68">
        <f>SUM(H15:H18)</f>
        <v>15500</v>
      </c>
      <c r="I19" s="47" t="s">
        <v>15</v>
      </c>
      <c r="J19" s="48"/>
      <c r="K19" s="49">
        <f>0</f>
        <v>0</v>
      </c>
      <c r="L19" s="50"/>
    </row>
    <row r="20" spans="1:12" ht="31.5" x14ac:dyDescent="0.25">
      <c r="A20" s="51"/>
      <c r="B20" s="52"/>
      <c r="C20" s="53"/>
      <c r="D20" s="52"/>
      <c r="E20" s="54" t="s">
        <v>17</v>
      </c>
      <c r="F20" s="54"/>
      <c r="G20" s="54"/>
      <c r="H20" s="69">
        <f>ROUND(H19*0.0929,3)</f>
        <v>1439.95</v>
      </c>
      <c r="I20" s="53" t="s">
        <v>18</v>
      </c>
      <c r="J20" s="48" t="s">
        <v>19</v>
      </c>
      <c r="K20" s="49">
        <f>IF(B14="10.34",IF(J20="Labour Rate",93,IF(J20="Material Rate",380,IF(J20="Through Rate",474,0))),"")</f>
        <v>474</v>
      </c>
      <c r="L20" s="57">
        <f>IF(H20*K20&lt;&gt;0,H20*K20,0)</f>
        <v>682536.3</v>
      </c>
    </row>
    <row r="21" spans="1:12" ht="14.1" customHeight="1" x14ac:dyDescent="0.25">
      <c r="A21" s="58"/>
      <c r="B21" s="59"/>
      <c r="C21" s="70"/>
      <c r="D21" s="59"/>
      <c r="E21" s="59"/>
      <c r="F21" s="59"/>
      <c r="G21" s="59"/>
      <c r="H21" s="68"/>
      <c r="I21" s="63"/>
      <c r="J21" s="48"/>
      <c r="K21" s="49"/>
      <c r="L21" s="64"/>
    </row>
    <row r="22" spans="1:12" ht="40.5" x14ac:dyDescent="0.25">
      <c r="A22" s="23">
        <f>IFERROR(LOOKUP(2,1/(ISNUMBER($A$4:$A$21)),$A$4:$A$21),0)+1</f>
        <v>3</v>
      </c>
      <c r="B22" s="24" t="s">
        <v>22</v>
      </c>
      <c r="C22" s="71" t="s">
        <v>23</v>
      </c>
      <c r="D22" s="26"/>
      <c r="E22" s="27"/>
      <c r="F22" s="27"/>
      <c r="G22" s="27"/>
      <c r="H22" s="28"/>
      <c r="I22" s="29"/>
      <c r="J22" s="30"/>
      <c r="K22" s="72"/>
      <c r="L22" s="32"/>
    </row>
    <row r="23" spans="1:12" ht="13.9" customHeight="1" x14ac:dyDescent="0.25">
      <c r="A23" s="58"/>
      <c r="B23" s="33"/>
      <c r="C23" s="34"/>
      <c r="D23" s="66">
        <v>2</v>
      </c>
      <c r="E23" s="66">
        <v>400</v>
      </c>
      <c r="F23" s="66"/>
      <c r="G23" s="66"/>
      <c r="H23" s="67">
        <f>D23*IF(OR(E23=0,E23="-"),1,E23)*IF(OR(F23=0,F23="-"),1,F23)*IF(OR(G23=0,G23="-"),1,G23)</f>
        <v>800</v>
      </c>
      <c r="I23" s="38" t="s">
        <v>24</v>
      </c>
      <c r="J23" s="39"/>
      <c r="K23" s="56"/>
      <c r="L23" s="41"/>
    </row>
    <row r="24" spans="1:12" ht="14.45" customHeight="1" x14ac:dyDescent="0.25">
      <c r="A24" s="42"/>
      <c r="B24" s="73"/>
      <c r="C24" s="74"/>
      <c r="D24" s="73"/>
      <c r="E24" s="74"/>
      <c r="F24" s="75" t="s">
        <v>25</v>
      </c>
      <c r="G24" s="75"/>
      <c r="H24" s="76">
        <f>SUM(H23:H23)</f>
        <v>800</v>
      </c>
      <c r="I24" s="77" t="s">
        <v>24</v>
      </c>
      <c r="J24" s="78"/>
      <c r="K24" s="79">
        <f>0</f>
        <v>0</v>
      </c>
      <c r="L24" s="80"/>
    </row>
    <row r="25" spans="1:12" s="88" customFormat="1" ht="30" x14ac:dyDescent="0.25">
      <c r="A25" s="81" t="s">
        <v>26</v>
      </c>
      <c r="B25" s="82"/>
      <c r="C25" s="83"/>
      <c r="D25" s="82"/>
      <c r="E25" s="84" t="s">
        <v>27</v>
      </c>
      <c r="F25" s="84"/>
      <c r="G25" s="84"/>
      <c r="H25" s="76">
        <f>ROUND(H24*0.3048,3)</f>
        <v>243.84</v>
      </c>
      <c r="I25" s="85" t="s">
        <v>28</v>
      </c>
      <c r="J25" s="78" t="s">
        <v>19</v>
      </c>
      <c r="K25" s="86">
        <f>IF(B22="10.36",IF(J25="Labour Rate",7,IF(J25="Material Rate",47,IF(J25="Through Rate",54,0))),"")</f>
        <v>54</v>
      </c>
      <c r="L25" s="87">
        <f>IF(H25*K25&lt;&gt;0,H25*K25,0)</f>
        <v>13167.36</v>
      </c>
    </row>
    <row r="26" spans="1:12" ht="14.1" customHeight="1" thickBot="1" x14ac:dyDescent="0.3">
      <c r="A26" s="89"/>
      <c r="B26" s="90"/>
      <c r="C26" s="91"/>
      <c r="D26" s="92"/>
      <c r="E26" s="91"/>
      <c r="F26" s="91"/>
      <c r="G26" s="91"/>
      <c r="H26" s="92"/>
      <c r="I26" s="91"/>
      <c r="J26" s="91"/>
      <c r="K26" s="92"/>
      <c r="L26" s="93"/>
    </row>
    <row r="27" spans="1:12" ht="14.45" customHeight="1" thickTop="1" x14ac:dyDescent="0.25">
      <c r="E27"/>
      <c r="F27"/>
      <c r="G27"/>
      <c r="H27"/>
      <c r="I27"/>
      <c r="J27" s="96" t="s">
        <v>29</v>
      </c>
      <c r="K27" s="97"/>
      <c r="L27" s="98">
        <f>SUM(L5:INDEX(L:L,ROW()-1))</f>
        <v>701463.46000000008</v>
      </c>
    </row>
    <row r="28" spans="1:12" ht="14.45" customHeight="1" x14ac:dyDescent="0.25">
      <c r="E28"/>
      <c r="F28"/>
      <c r="G28"/>
      <c r="H28"/>
      <c r="I28"/>
      <c r="J28" s="99" t="s">
        <v>30</v>
      </c>
      <c r="K28" s="100"/>
      <c r="L28" s="101">
        <f>$L$27*0.18</f>
        <v>126263.42280000001</v>
      </c>
    </row>
    <row r="29" spans="1:12" ht="14.45" customHeight="1" x14ac:dyDescent="0.25">
      <c r="E29"/>
      <c r="F29"/>
      <c r="G29"/>
      <c r="H29"/>
      <c r="I29"/>
      <c r="J29" s="99" t="s">
        <v>31</v>
      </c>
      <c r="K29" s="100"/>
      <c r="L29" s="101">
        <f>$L$27+$L$28</f>
        <v>827726.88280000014</v>
      </c>
    </row>
    <row r="30" spans="1:12" ht="14.45" customHeight="1" x14ac:dyDescent="0.25">
      <c r="E30"/>
      <c r="F30"/>
      <c r="G30"/>
      <c r="H30"/>
      <c r="I30"/>
      <c r="J30" s="99" t="s">
        <v>32</v>
      </c>
      <c r="K30" s="100"/>
      <c r="L30" s="101">
        <f>$L$29*0.01</f>
        <v>8277.268828000002</v>
      </c>
    </row>
    <row r="31" spans="1:12" ht="14.45" customHeight="1" thickBot="1" x14ac:dyDescent="0.3">
      <c r="E31"/>
      <c r="F31"/>
      <c r="G31"/>
      <c r="H31"/>
      <c r="I31"/>
      <c r="J31" s="102" t="s">
        <v>33</v>
      </c>
      <c r="K31" s="103"/>
      <c r="L31" s="104">
        <f>$L$29+$L$30</f>
        <v>836004.1516280002</v>
      </c>
    </row>
    <row r="32" spans="1:12" ht="14.45" customHeight="1" thickTop="1" x14ac:dyDescent="0.25">
      <c r="E32"/>
      <c r="F32"/>
      <c r="G32"/>
      <c r="H32"/>
      <c r="I32"/>
      <c r="J32" s="105" t="s">
        <v>34</v>
      </c>
      <c r="K32" s="106"/>
      <c r="L32" s="94"/>
    </row>
    <row r="33" spans="5:12" ht="39" x14ac:dyDescent="0.25">
      <c r="E33"/>
      <c r="F33"/>
      <c r="G33"/>
      <c r="H33"/>
      <c r="I33" s="107" t="s">
        <v>35</v>
      </c>
      <c r="J33" s="108" t="str">
        <f>IF(L31&gt;=10000000,ROUND(L31/10000000,2)&amp;" Crore",IF(L31&gt;=100000,ROUND(L31/100000,2)&amp;" Lakh",IF(L31&gt;=1000,ROUND(L31/1000,2)&amp;" Thousand",ROUND(L31,0)))) &amp; " Only"</f>
        <v>8.36 Lakh Only</v>
      </c>
      <c r="K33" s="109"/>
      <c r="L33" s="109"/>
    </row>
    <row r="34" spans="5:12" ht="14.45" customHeight="1" x14ac:dyDescent="0.25">
      <c r="E34"/>
      <c r="F34"/>
      <c r="G34"/>
      <c r="H34"/>
      <c r="I34"/>
      <c r="J34"/>
      <c r="K34"/>
      <c r="L34"/>
    </row>
    <row r="35" spans="5:12" x14ac:dyDescent="0.25"/>
    <row r="36" spans="5:12" x14ac:dyDescent="0.25"/>
    <row r="38" spans="5:12" ht="14.45" hidden="1" customHeight="1" x14ac:dyDescent="0.25">
      <c r="K38" s="88"/>
      <c r="L38" s="88"/>
    </row>
    <row r="39" spans="5:12" ht="14.45" hidden="1" customHeight="1" x14ac:dyDescent="0.25">
      <c r="K39" s="88"/>
      <c r="L39" s="88"/>
    </row>
    <row r="40" spans="5:12" ht="14.45" hidden="1" customHeight="1" x14ac:dyDescent="0.25">
      <c r="K40" s="88"/>
      <c r="L40" s="88"/>
    </row>
    <row r="41" spans="5:12" ht="14.45" hidden="1" customHeight="1" x14ac:dyDescent="0.25">
      <c r="K41" s="88"/>
      <c r="L41" s="88"/>
    </row>
    <row r="42" spans="5:12" ht="14.45" hidden="1" customHeight="1" x14ac:dyDescent="0.25">
      <c r="K42" s="88"/>
      <c r="L42" s="88"/>
    </row>
    <row r="43" spans="5:12" ht="14.45" hidden="1" customHeight="1" x14ac:dyDescent="0.25">
      <c r="K43" s="88"/>
      <c r="L43" s="88"/>
    </row>
    <row r="44" spans="5:12" ht="14.45" hidden="1" customHeight="1" x14ac:dyDescent="0.25">
      <c r="K44" s="88"/>
      <c r="L44" s="88"/>
    </row>
    <row r="45" spans="5:12" ht="14.45" hidden="1" customHeight="1" x14ac:dyDescent="0.25">
      <c r="K45" s="88"/>
      <c r="L45" s="88"/>
    </row>
    <row r="46" spans="5:12" ht="14.45" hidden="1" customHeight="1" x14ac:dyDescent="0.25">
      <c r="K46" s="88"/>
      <c r="L46" s="88"/>
    </row>
    <row r="47" spans="5:12" ht="14.45" hidden="1" customHeight="1" x14ac:dyDescent="0.25">
      <c r="K47" s="88"/>
      <c r="L47" s="88"/>
    </row>
    <row r="48" spans="5:12" ht="14.45" hidden="1" customHeight="1" x14ac:dyDescent="0.25">
      <c r="K48" s="88"/>
      <c r="L48" s="88"/>
    </row>
    <row r="49" spans="11:12" ht="14.45" hidden="1" customHeight="1" x14ac:dyDescent="0.25">
      <c r="K49" s="88"/>
      <c r="L49" s="88"/>
    </row>
    <row r="50" spans="11:12" ht="14.45" hidden="1" customHeight="1" x14ac:dyDescent="0.25">
      <c r="K50" s="88"/>
      <c r="L50" s="88"/>
    </row>
    <row r="51" spans="11:12" ht="14.45" hidden="1" customHeight="1" x14ac:dyDescent="0.25">
      <c r="K51" s="88"/>
      <c r="L51" s="88"/>
    </row>
    <row r="52" spans="11:12" ht="14.45" hidden="1" customHeight="1" x14ac:dyDescent="0.25">
      <c r="K52" s="88"/>
      <c r="L52" s="88"/>
    </row>
    <row r="53" spans="11:12" ht="14.45" hidden="1" customHeight="1" x14ac:dyDescent="0.25">
      <c r="K53" s="88"/>
      <c r="L53" s="88"/>
    </row>
    <row r="54" spans="11:12" ht="14.45" hidden="1" customHeight="1" x14ac:dyDescent="0.25">
      <c r="K54" s="88"/>
      <c r="L54" s="88"/>
    </row>
    <row r="55" spans="11:12" ht="14.45" hidden="1" customHeight="1" x14ac:dyDescent="0.25">
      <c r="K55" s="88"/>
      <c r="L55" s="88"/>
    </row>
    <row r="56" spans="11:12" ht="14.45" hidden="1" customHeight="1" x14ac:dyDescent="0.25">
      <c r="K56" s="88"/>
      <c r="L56" s="88"/>
    </row>
    <row r="57" spans="11:12" ht="14.45" hidden="1" customHeight="1" x14ac:dyDescent="0.25">
      <c r="K57" s="88"/>
      <c r="L57" s="88"/>
    </row>
    <row r="58" spans="11:12" ht="14.45" hidden="1" customHeight="1" x14ac:dyDescent="0.25">
      <c r="K58" s="88"/>
      <c r="L58" s="88"/>
    </row>
    <row r="59" spans="11:12" ht="14.45" hidden="1" customHeight="1" x14ac:dyDescent="0.25">
      <c r="K59" s="88"/>
      <c r="L59" s="88"/>
    </row>
    <row r="60" spans="11:12" ht="14.45" hidden="1" customHeight="1" x14ac:dyDescent="0.25">
      <c r="K60" s="88"/>
      <c r="L60" s="88"/>
    </row>
    <row r="61" spans="11:12" ht="14.45" hidden="1" customHeight="1" x14ac:dyDescent="0.25">
      <c r="K61" s="88"/>
      <c r="L61" s="88"/>
    </row>
    <row r="62" spans="11:12" ht="14.45" hidden="1" customHeight="1" x14ac:dyDescent="0.25">
      <c r="K62" s="88"/>
      <c r="L62" s="88"/>
    </row>
    <row r="63" spans="11:12" ht="14.45" hidden="1" customHeight="1" x14ac:dyDescent="0.25">
      <c r="K63" s="88"/>
      <c r="L63" s="88"/>
    </row>
    <row r="64" spans="11:12" ht="14.45" hidden="1" customHeight="1" x14ac:dyDescent="0.25">
      <c r="K64" s="88"/>
      <c r="L64" s="88"/>
    </row>
    <row r="65" spans="11:12" ht="14.45" hidden="1" customHeight="1" x14ac:dyDescent="0.25">
      <c r="K65" s="88"/>
      <c r="L65" s="88"/>
    </row>
    <row r="66" spans="11:12" ht="14.45" hidden="1" customHeight="1" x14ac:dyDescent="0.25">
      <c r="K66" s="88"/>
      <c r="L66" s="88"/>
    </row>
    <row r="67" spans="11:12" ht="14.45" hidden="1" customHeight="1" x14ac:dyDescent="0.25">
      <c r="K67" s="88"/>
      <c r="L67" s="88"/>
    </row>
    <row r="68" spans="11:12" ht="14.45" hidden="1" customHeight="1" x14ac:dyDescent="0.25">
      <c r="K68" s="88"/>
      <c r="L68" s="88"/>
    </row>
    <row r="69" spans="11:12" ht="14.45" hidden="1" customHeight="1" x14ac:dyDescent="0.25">
      <c r="K69" s="88"/>
      <c r="L69" s="88"/>
    </row>
    <row r="70" spans="11:12" ht="14.45" hidden="1" customHeight="1" x14ac:dyDescent="0.25">
      <c r="K70" s="88"/>
      <c r="L70" s="88"/>
    </row>
    <row r="71" spans="11:12" ht="14.45" hidden="1" customHeight="1" x14ac:dyDescent="0.25">
      <c r="K71" s="88"/>
      <c r="L71" s="88"/>
    </row>
    <row r="72" spans="11:12" ht="14.45" hidden="1" customHeight="1" x14ac:dyDescent="0.25">
      <c r="K72" s="88"/>
      <c r="L72" s="88"/>
    </row>
    <row r="73" spans="11:12" ht="14.45" hidden="1" customHeight="1" x14ac:dyDescent="0.25">
      <c r="K73" s="88"/>
      <c r="L73" s="88"/>
    </row>
    <row r="74" spans="11:12" ht="14.45" hidden="1" customHeight="1" x14ac:dyDescent="0.25">
      <c r="K74" s="88"/>
      <c r="L74" s="88"/>
    </row>
    <row r="75" spans="11:12" ht="14.45" hidden="1" customHeight="1" x14ac:dyDescent="0.25">
      <c r="K75" s="88"/>
      <c r="L75" s="88"/>
    </row>
    <row r="76" spans="11:12" ht="14.45" hidden="1" customHeight="1" x14ac:dyDescent="0.25">
      <c r="K76" s="88"/>
      <c r="L76" s="88"/>
    </row>
    <row r="77" spans="11:12" ht="14.45" hidden="1" customHeight="1" x14ac:dyDescent="0.25">
      <c r="K77" s="88"/>
      <c r="L77" s="88"/>
    </row>
    <row r="78" spans="11:12" ht="14.45" hidden="1" customHeight="1" x14ac:dyDescent="0.25">
      <c r="K78" s="88"/>
      <c r="L78" s="88"/>
    </row>
    <row r="79" spans="11:12" ht="14.45" hidden="1" customHeight="1" x14ac:dyDescent="0.25">
      <c r="K79" s="88"/>
      <c r="L79" s="88"/>
    </row>
    <row r="80" spans="11:12" ht="14.45" hidden="1" customHeight="1" x14ac:dyDescent="0.25">
      <c r="K80" s="88"/>
      <c r="L80" s="88"/>
    </row>
    <row r="81" spans="11:12" ht="14.45" hidden="1" customHeight="1" x14ac:dyDescent="0.25">
      <c r="K81" s="88"/>
      <c r="L81" s="88"/>
    </row>
    <row r="82" spans="11:12" ht="14.45" hidden="1" customHeight="1" x14ac:dyDescent="0.25">
      <c r="K82" s="88"/>
      <c r="L82" s="88"/>
    </row>
    <row r="83" spans="11:12" ht="14.45" hidden="1" customHeight="1" x14ac:dyDescent="0.25">
      <c r="K83" s="88"/>
      <c r="L83" s="88"/>
    </row>
    <row r="84" spans="11:12" ht="14.45" hidden="1" customHeight="1" x14ac:dyDescent="0.25">
      <c r="K84" s="88"/>
      <c r="L84" s="88"/>
    </row>
    <row r="85" spans="11:12" ht="14.45" hidden="1" customHeight="1" x14ac:dyDescent="0.25">
      <c r="K85" s="88"/>
      <c r="L85" s="88"/>
    </row>
    <row r="86" spans="11:12" ht="14.45" hidden="1" customHeight="1" x14ac:dyDescent="0.25">
      <c r="K86" s="88"/>
      <c r="L86" s="88"/>
    </row>
    <row r="87" spans="11:12" ht="14.45" hidden="1" customHeight="1" x14ac:dyDescent="0.25">
      <c r="K87" s="88"/>
      <c r="L87" s="88"/>
    </row>
    <row r="88" spans="11:12" ht="14.45" hidden="1" customHeight="1" x14ac:dyDescent="0.25">
      <c r="K88" s="88"/>
      <c r="L88" s="88"/>
    </row>
    <row r="89" spans="11:12" ht="14.45" hidden="1" customHeight="1" x14ac:dyDescent="0.25">
      <c r="K89" s="88"/>
      <c r="L89" s="88"/>
    </row>
    <row r="90" spans="11:12" ht="14.45" hidden="1" customHeight="1" x14ac:dyDescent="0.25">
      <c r="K90" s="88"/>
      <c r="L90" s="88"/>
    </row>
    <row r="91" spans="11:12" ht="14.45" hidden="1" customHeight="1" x14ac:dyDescent="0.25">
      <c r="K91" s="88"/>
      <c r="L91" s="88"/>
    </row>
    <row r="92" spans="11:12" ht="14.45" hidden="1" customHeight="1" x14ac:dyDescent="0.25">
      <c r="K92" s="88"/>
      <c r="L92" s="88"/>
    </row>
    <row r="93" spans="11:12" ht="14.45" hidden="1" customHeight="1" x14ac:dyDescent="0.25">
      <c r="K93" s="88"/>
      <c r="L93" s="88"/>
    </row>
    <row r="94" spans="11:12" ht="14.45" hidden="1" customHeight="1" x14ac:dyDescent="0.25">
      <c r="K94" s="88"/>
      <c r="L94" s="88"/>
    </row>
    <row r="95" spans="11:12" ht="14.45" hidden="1" customHeight="1" x14ac:dyDescent="0.25">
      <c r="K95" s="88"/>
      <c r="L95" s="88"/>
    </row>
    <row r="96" spans="11:12" ht="14.45" hidden="1" customHeight="1" x14ac:dyDescent="0.25">
      <c r="K96" s="88"/>
      <c r="L96" s="88"/>
    </row>
    <row r="97" spans="11:12" ht="14.45" hidden="1" customHeight="1" x14ac:dyDescent="0.25">
      <c r="K97" s="88"/>
      <c r="L97" s="88"/>
    </row>
    <row r="98" spans="11:12" ht="14.45" hidden="1" customHeight="1" x14ac:dyDescent="0.25">
      <c r="K98" s="88"/>
      <c r="L98" s="88"/>
    </row>
    <row r="99" spans="11:12" ht="14.45" hidden="1" customHeight="1" x14ac:dyDescent="0.25">
      <c r="K99" s="88"/>
      <c r="L99" s="88"/>
    </row>
    <row r="100" spans="11:12" ht="14.45" hidden="1" customHeight="1" x14ac:dyDescent="0.25">
      <c r="K100" s="88"/>
      <c r="L100" s="88"/>
    </row>
    <row r="101" spans="11:12" ht="14.45" hidden="1" customHeight="1" x14ac:dyDescent="0.25">
      <c r="K101" s="88"/>
      <c r="L101" s="88"/>
    </row>
    <row r="102" spans="11:12" ht="14.45" hidden="1" customHeight="1" x14ac:dyDescent="0.25">
      <c r="K102" s="88"/>
      <c r="L102" s="88"/>
    </row>
    <row r="103" spans="11:12" ht="14.45" hidden="1" customHeight="1" x14ac:dyDescent="0.25">
      <c r="K103" s="88"/>
      <c r="L103" s="88"/>
    </row>
    <row r="104" spans="11:12" ht="14.45" hidden="1" customHeight="1" x14ac:dyDescent="0.25">
      <c r="K104" s="88"/>
      <c r="L104" s="88"/>
    </row>
    <row r="105" spans="11:12" ht="14.45" hidden="1" customHeight="1" x14ac:dyDescent="0.25">
      <c r="K105" s="88"/>
      <c r="L105" s="88"/>
    </row>
    <row r="106" spans="11:12" ht="14.45" hidden="1" customHeight="1" x14ac:dyDescent="0.25">
      <c r="K106" s="88"/>
      <c r="L106" s="88"/>
    </row>
    <row r="107" spans="11:12" ht="14.45" hidden="1" customHeight="1" x14ac:dyDescent="0.25">
      <c r="K107" s="88"/>
      <c r="L107" s="88"/>
    </row>
    <row r="108" spans="11:12" ht="14.45" hidden="1" customHeight="1" x14ac:dyDescent="0.25">
      <c r="K108" s="88"/>
      <c r="L108" s="88"/>
    </row>
    <row r="109" spans="11:12" ht="14.45" hidden="1" customHeight="1" x14ac:dyDescent="0.25">
      <c r="K109" s="88"/>
      <c r="L109" s="88"/>
    </row>
    <row r="110" spans="11:12" ht="14.45" hidden="1" customHeight="1" x14ac:dyDescent="0.25">
      <c r="K110" s="88"/>
      <c r="L110" s="88"/>
    </row>
    <row r="111" spans="11:12" ht="14.45" hidden="1" customHeight="1" x14ac:dyDescent="0.25">
      <c r="K111" s="88"/>
      <c r="L111" s="88"/>
    </row>
    <row r="112" spans="11:12" ht="14.45" hidden="1" customHeight="1" x14ac:dyDescent="0.25">
      <c r="K112" s="88"/>
      <c r="L112" s="88"/>
    </row>
    <row r="113" spans="11:12" ht="14.45" hidden="1" customHeight="1" x14ac:dyDescent="0.25">
      <c r="K113" s="88"/>
      <c r="L113" s="88"/>
    </row>
    <row r="114" spans="11:12" ht="14.45" hidden="1" customHeight="1" x14ac:dyDescent="0.25">
      <c r="K114" s="88"/>
      <c r="L114" s="88"/>
    </row>
    <row r="115" spans="11:12" ht="14.45" hidden="1" customHeight="1" x14ac:dyDescent="0.25">
      <c r="K115" s="88"/>
      <c r="L115" s="88"/>
    </row>
    <row r="116" spans="11:12" ht="14.45" hidden="1" customHeight="1" x14ac:dyDescent="0.25">
      <c r="K116" s="88"/>
      <c r="L116" s="88"/>
    </row>
    <row r="117" spans="11:12" ht="14.45" hidden="1" customHeight="1" x14ac:dyDescent="0.25">
      <c r="K117" s="88"/>
      <c r="L117" s="88"/>
    </row>
    <row r="118" spans="11:12" ht="14.45" hidden="1" customHeight="1" x14ac:dyDescent="0.25">
      <c r="K118" s="88"/>
      <c r="L118" s="88"/>
    </row>
    <row r="119" spans="11:12" ht="14.45" hidden="1" customHeight="1" x14ac:dyDescent="0.25">
      <c r="K119" s="88"/>
      <c r="L119" s="88"/>
    </row>
    <row r="120" spans="11:12" ht="14.45" hidden="1" customHeight="1" x14ac:dyDescent="0.25">
      <c r="K120" s="88"/>
      <c r="L120" s="88"/>
    </row>
    <row r="121" spans="11:12" ht="14.45" hidden="1" customHeight="1" x14ac:dyDescent="0.25">
      <c r="K121" s="88"/>
      <c r="L121" s="88"/>
    </row>
    <row r="122" spans="11:12" ht="14.45" hidden="1" customHeight="1" x14ac:dyDescent="0.25">
      <c r="K122" s="88"/>
      <c r="L122" s="88"/>
    </row>
    <row r="123" spans="11:12" ht="14.45" hidden="1" customHeight="1" x14ac:dyDescent="0.25">
      <c r="K123" s="88"/>
      <c r="L123" s="88"/>
    </row>
    <row r="124" spans="11:12" ht="14.45" hidden="1" customHeight="1" x14ac:dyDescent="0.25">
      <c r="K124" s="88"/>
      <c r="L124" s="88"/>
    </row>
    <row r="125" spans="11:12" ht="14.45" hidden="1" customHeight="1" x14ac:dyDescent="0.25">
      <c r="K125" s="88"/>
      <c r="L125" s="88"/>
    </row>
    <row r="126" spans="11:12" ht="14.45" hidden="1" customHeight="1" x14ac:dyDescent="0.25">
      <c r="K126" s="88"/>
      <c r="L126" s="88"/>
    </row>
    <row r="127" spans="11:12" ht="14.45" hidden="1" customHeight="1" x14ac:dyDescent="0.25">
      <c r="K127" s="88"/>
      <c r="L127" s="88"/>
    </row>
    <row r="128" spans="11:12" ht="14.45" hidden="1" customHeight="1" x14ac:dyDescent="0.25">
      <c r="K128" s="88"/>
      <c r="L128" s="88"/>
    </row>
    <row r="129" spans="3:15" ht="14.45" hidden="1" customHeight="1" x14ac:dyDescent="0.25">
      <c r="K129" s="88"/>
      <c r="L129" s="88"/>
    </row>
    <row r="130" spans="3:15" ht="14.45" hidden="1" customHeight="1" x14ac:dyDescent="0.25">
      <c r="K130" s="88"/>
      <c r="L130" s="88"/>
    </row>
    <row r="131" spans="3:15" ht="14.45" hidden="1" customHeight="1" x14ac:dyDescent="0.25">
      <c r="K131" s="88"/>
      <c r="L131" s="88"/>
    </row>
    <row r="132" spans="3:15" ht="14.45" hidden="1" customHeight="1" x14ac:dyDescent="0.25">
      <c r="K132" s="88"/>
      <c r="L132" s="88"/>
    </row>
    <row r="133" spans="3:15" ht="14.45" hidden="1" customHeight="1" x14ac:dyDescent="0.25">
      <c r="K133" s="88"/>
      <c r="L133" s="88"/>
    </row>
    <row r="134" spans="3:15" ht="14.45" hidden="1" customHeight="1" x14ac:dyDescent="0.25">
      <c r="K134" s="88"/>
      <c r="L134" s="88"/>
    </row>
    <row r="135" spans="3:15" ht="14.45" hidden="1" customHeight="1" x14ac:dyDescent="0.25">
      <c r="K135" s="88"/>
      <c r="L135" s="88"/>
    </row>
    <row r="144" spans="3:15" s="94" customFormat="1" hidden="1" x14ac:dyDescent="0.25">
      <c r="C144" s="88"/>
      <c r="D144" s="95"/>
      <c r="E144" s="88"/>
      <c r="F144" s="88"/>
      <c r="G144" s="88"/>
      <c r="H144" s="95"/>
      <c r="I144" s="110"/>
      <c r="J144" s="88"/>
      <c r="K144" s="95"/>
      <c r="L144" s="111"/>
      <c r="M144"/>
      <c r="N144"/>
      <c r="O144"/>
    </row>
    <row r="145" spans="3:15" s="94" customFormat="1" hidden="1" x14ac:dyDescent="0.25">
      <c r="C145" s="88"/>
      <c r="D145" s="95"/>
      <c r="E145" s="88"/>
      <c r="F145" s="88"/>
      <c r="G145" s="88"/>
      <c r="H145" s="95"/>
      <c r="I145" s="110"/>
      <c r="J145" s="88"/>
      <c r="K145" s="95"/>
      <c r="L145" s="111"/>
      <c r="M145"/>
      <c r="N145"/>
      <c r="O145"/>
    </row>
  </sheetData>
  <mergeCells count="7">
    <mergeCell ref="E25:G25"/>
    <mergeCell ref="A1:L3"/>
    <mergeCell ref="F11:G11"/>
    <mergeCell ref="E12:G12"/>
    <mergeCell ref="F19:G19"/>
    <mergeCell ref="E20:G20"/>
    <mergeCell ref="F24:G24"/>
  </mergeCells>
  <conditionalFormatting sqref="K21">
    <cfRule type="expression" dxfId="3" priority="1" stopIfTrue="1">
      <formula>AND(ISNUMBER(K21),K21&lt;&gt;0)</formula>
    </cfRule>
  </conditionalFormatting>
  <conditionalFormatting sqref="K24">
    <cfRule type="expression" dxfId="2" priority="2" stopIfTrue="1">
      <formula>AND(ISNUMBER(K24),K24&lt;&gt;0)</formula>
    </cfRule>
  </conditionalFormatting>
  <conditionalFormatting sqref="K19">
    <cfRule type="expression" dxfId="1" priority="3" stopIfTrue="1">
      <formula>AND(ISNUMBER(K19),K19&lt;&gt;0)</formula>
    </cfRule>
  </conditionalFormatting>
  <conditionalFormatting sqref="K11">
    <cfRule type="expression" dxfId="0" priority="4" stopIfTrue="1">
      <formula>AND(ISNUMBER(K11),K11&lt;&gt;0)</formula>
    </cfRule>
  </conditionalFormatting>
  <dataValidations count="2">
    <dataValidation type="list" allowBlank="1" showInputMessage="1" showErrorMessage="1" sqref="J12" xr:uid="{5C87BB0D-BBF6-4E60-95F0-5792DB588662}">
      <formula1>"Through Rate,Labour Rate"</formula1>
    </dataValidation>
    <dataValidation type="list" allowBlank="1" showInputMessage="1" showErrorMessage="1" sqref="J25 J20" xr:uid="{70D8FB7D-E6D4-4833-8B25-8B69C32DCADA}">
      <formula1>"Through Rate,Material Rate,Labour Rate"</formula1>
    </dataValidation>
  </dataValidations>
  <pageMargins left="0.43307086614173201" right="0.43307086614173201" top="0.55118110236220497" bottom="0.47244094488188998" header="0.31496062992126" footer="0.31496062992126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Brick Rasta (2)</vt:lpstr>
    </vt:vector>
  </TitlesOfParts>
  <Company>ssb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garg</dc:creator>
  <cp:lastModifiedBy>amit garg</cp:lastModifiedBy>
  <dcterms:created xsi:type="dcterms:W3CDTF">2026-01-26T12:15:47Z</dcterms:created>
  <dcterms:modified xsi:type="dcterms:W3CDTF">2026-01-26T12:15:47Z</dcterms:modified>
</cp:coreProperties>
</file>