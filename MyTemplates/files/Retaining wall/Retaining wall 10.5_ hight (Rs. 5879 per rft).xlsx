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itg\AppData\Local\MRGARGSIRTools\MyTemplates\"/>
    </mc:Choice>
  </mc:AlternateContent>
  <xr:revisionPtr revIDLastSave="0" documentId="8_{F0E3B8E4-0E2E-49EA-9D3E-C6E167880B1E}" xr6:coauthVersionLast="47" xr6:coauthVersionMax="47" xr10:uidLastSave="{00000000-0000-0000-0000-000000000000}"/>
  <bookViews>
    <workbookView xWindow="-120" yWindow="-120" windowWidth="29040" windowHeight="15840" xr2:uid="{A6A6D293-5457-4BF1-A599-3B2A8F1F3ABC}"/>
  </bookViews>
  <sheets>
    <sheet name="Retaining wall 10.5' hight "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42" i="2" l="1"/>
  <c r="K41" i="2"/>
  <c r="H40" i="2"/>
  <c r="H41" i="2" s="1"/>
  <c r="H42" i="2" s="1"/>
  <c r="L42" i="2" s="1"/>
  <c r="K37" i="2"/>
  <c r="K36" i="2"/>
  <c r="H35" i="2"/>
  <c r="H36" i="2" s="1"/>
  <c r="H37" i="2" s="1"/>
  <c r="L37" i="2" s="1"/>
  <c r="K32" i="2"/>
  <c r="K31" i="2"/>
  <c r="H30" i="2"/>
  <c r="H31" i="2" s="1"/>
  <c r="H32" i="2" s="1"/>
  <c r="L32" i="2" s="1"/>
  <c r="K27" i="2"/>
  <c r="K26" i="2"/>
  <c r="H26" i="2"/>
  <c r="H27" i="2" s="1"/>
  <c r="L27" i="2" s="1"/>
  <c r="H25" i="2"/>
  <c r="K22" i="2"/>
  <c r="K21" i="2"/>
  <c r="H20" i="2"/>
  <c r="H19" i="2"/>
  <c r="H18" i="2"/>
  <c r="H17" i="2"/>
  <c r="H16" i="2"/>
  <c r="H21" i="2" s="1"/>
  <c r="H22" i="2" s="1"/>
  <c r="L22" i="2" s="1"/>
  <c r="K13" i="2"/>
  <c r="K12" i="2"/>
  <c r="H11" i="2"/>
  <c r="H12" i="2" s="1"/>
  <c r="H13" i="2" s="1"/>
  <c r="L13" i="2" s="1"/>
  <c r="A10" i="2"/>
  <c r="A15" i="2" s="1"/>
  <c r="A24" i="2" s="1"/>
  <c r="K8" i="2"/>
  <c r="K7" i="2"/>
  <c r="H6" i="2"/>
  <c r="H7" i="2" s="1"/>
  <c r="H8" i="2" s="1"/>
  <c r="L8" i="2" s="1"/>
  <c r="A5" i="2"/>
  <c r="A29" i="2" l="1"/>
  <c r="A34" i="2"/>
  <c r="A39" i="2" s="1"/>
  <c r="L44" i="2"/>
  <c r="L45" i="2" l="1"/>
  <c r="L46" i="2"/>
  <c r="L47" i="2" l="1"/>
  <c r="L48" i="2"/>
  <c r="J50" i="2" s="1"/>
</calcChain>
</file>

<file path=xl/sharedStrings.xml><?xml version="1.0" encoding="utf-8"?>
<sst xmlns="http://schemas.openxmlformats.org/spreadsheetml/2006/main" count="81" uniqueCount="45">
  <si>
    <t>Rate Analysis of Retaining Wall 10.5' height</t>
  </si>
  <si>
    <t>Sr No</t>
  </si>
  <si>
    <t>HSR
Item No</t>
  </si>
  <si>
    <t>Description</t>
  </si>
  <si>
    <t>Nos</t>
  </si>
  <si>
    <t>Length</t>
  </si>
  <si>
    <t>Breadth</t>
  </si>
  <si>
    <t>Depth</t>
  </si>
  <si>
    <t>Quantity</t>
  </si>
  <si>
    <t>Unit</t>
  </si>
  <si>
    <t>Rate Type</t>
  </si>
  <si>
    <t>Rate</t>
  </si>
  <si>
    <t>Amount</t>
  </si>
  <si>
    <t>4.14.1</t>
  </si>
  <si>
    <r>
      <t xml:space="preserve">4.14: Earth Work and Rock Cutting 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t>
    </r>
    <r>
      <rPr>
        <b/>
        <i/>
        <sz val="9"/>
        <color rgb="FF8B0000"/>
        <rFont val="Calibri"/>
        <family val="2"/>
        <scheme val="minor"/>
      </rPr>
      <t xml:space="preserve">4.14.1: All kinds of soil.
</t>
    </r>
  </si>
  <si>
    <t>cft</t>
  </si>
  <si>
    <t>Total (cft)</t>
  </si>
  <si>
    <t>Total (cum)</t>
  </si>
  <si>
    <t>cum</t>
  </si>
  <si>
    <t>Through Rate</t>
  </si>
  <si>
    <t>6.2.4</t>
  </si>
  <si>
    <r>
      <t xml:space="preserve">6.2: Concrete and RCC Work A CEMENT CONCRETE (CAST IN SITU) 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four level, excluding the cost of centering, shuttering and finishing:
</t>
    </r>
    <r>
      <rPr>
        <b/>
        <i/>
        <sz val="9"/>
        <color rgb="FF8B0000"/>
        <rFont val="Calibri"/>
        <family val="2"/>
        <scheme val="minor"/>
      </rPr>
      <t xml:space="preserve">6.2.4: 1:5:10 (1 cement : 5 coarse sand (zone-III) : 10 graded stone aggregate 40 mm nominal size).
</t>
    </r>
  </si>
  <si>
    <t>7.21.4</t>
  </si>
  <si>
    <r>
      <t xml:space="preserve">7.21: Brick work with common burnt clay non- modular bricks of class designation 10.5 in foundation and plinth in:
</t>
    </r>
    <r>
      <rPr>
        <b/>
        <i/>
        <sz val="9"/>
        <color rgb="FF8B0000"/>
        <rFont val="Calibri"/>
        <family val="2"/>
        <scheme val="minor"/>
      </rPr>
      <t xml:space="preserve">7.21.4: Cement mortar 1:5 (1 cement : 5 coarse sand)
</t>
    </r>
  </si>
  <si>
    <t>Through Rate Amnd</t>
  </si>
  <si>
    <t>10.8</t>
  </si>
  <si>
    <t xml:space="preserve">10.8: Flooring and Dados CEMENT CONCRETE FLOORING Providing and laying of conglomerate floor 40mm thick cement concrete topping 1:2:4
</t>
  </si>
  <si>
    <t>sft</t>
  </si>
  <si>
    <t>Total (sft)</t>
  </si>
  <si>
    <t>Total (sqm)</t>
  </si>
  <si>
    <t>sqm</t>
  </si>
  <si>
    <t>11.25.1</t>
  </si>
  <si>
    <r>
      <t xml:space="preserve">11.25: Finishing Works POINTING ON BRICK WORK Pointing on brick work or brick flooring with cement mortar 1:3 (1 cement : 3 fine sand):
</t>
    </r>
    <r>
      <rPr>
        <b/>
        <i/>
        <sz val="9"/>
        <color rgb="FF8B0000"/>
        <rFont val="Calibri"/>
        <family val="2"/>
        <scheme val="minor"/>
      </rPr>
      <t xml:space="preserve">11.25.1: Flush / Ruled/ Struck or weathered pointing
</t>
    </r>
  </si>
  <si>
    <t>11.12.2</t>
  </si>
  <si>
    <r>
      <t xml:space="preserve">11.12: Finishing Works CEMENT PLASTER WITH A FLOATING COAT OF NEAT CEMENT 15 mm cement plaster on rough side of single or half brick wall finished with a floating coat of neat cement of mix :
</t>
    </r>
    <r>
      <rPr>
        <b/>
        <i/>
        <sz val="9"/>
        <color rgb="FF8B0000"/>
        <rFont val="Calibri"/>
        <family val="2"/>
        <scheme val="minor"/>
      </rPr>
      <t xml:space="preserve">11.12.2: 1:4 (1 cement: 4 fine sand)
</t>
    </r>
  </si>
  <si>
    <t>7.59</t>
  </si>
  <si>
    <t xml:space="preserve">7.59: Brick Work and Stone Masonry MISCELLANEOUS BRICKWORK ITEMS Extra for making tapered surface of brick masonry.
</t>
  </si>
  <si>
    <t>End</t>
  </si>
  <si>
    <t>Total</t>
  </si>
  <si>
    <t>Add 18% GST</t>
  </si>
  <si>
    <t>Total Amount</t>
  </si>
  <si>
    <t>Add 1% Contigency</t>
  </si>
  <si>
    <t>GRAND TOTAL</t>
  </si>
  <si>
    <t xml:space="preserve"> .</t>
  </si>
  <si>
    <t xml:space="preserve">Say Rs.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</si>
</sst>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quot;&quot;"/>
    <numFmt numFmtId="166" formatCode="_(* #,##0_);_(* \(#,##0\);_(* &quot;-&quot;??_);_(@_)"/>
  </numFmts>
  <fonts count="12" x14ac:knownFonts="1">
    <font>
      <sz val="11"/>
      <color theme="1"/>
      <name val="Calibri"/>
      <family val="2"/>
      <scheme val="minor"/>
    </font>
    <font>
      <sz val="11"/>
      <color theme="1"/>
      <name val="Calibri"/>
      <family val="2"/>
      <scheme val="minor"/>
    </font>
    <font>
      <b/>
      <sz val="11"/>
      <color theme="1"/>
      <name val="Calibri"/>
      <family val="2"/>
      <scheme val="minor"/>
    </font>
    <font>
      <b/>
      <sz val="18"/>
      <color theme="1"/>
      <name val="Times New Roman"/>
      <family val="1"/>
    </font>
    <font>
      <b/>
      <sz val="12"/>
      <color theme="1"/>
      <name val="Times New Roman"/>
      <family val="1"/>
    </font>
    <font>
      <b/>
      <i/>
      <sz val="10"/>
      <color rgb="FF006400"/>
      <name val="Calibri"/>
      <family val="2"/>
      <scheme val="minor"/>
    </font>
    <font>
      <b/>
      <i/>
      <sz val="9"/>
      <color rgb="FF8B0000"/>
      <name val="Calibri"/>
      <family val="2"/>
      <scheme val="minor"/>
    </font>
    <font>
      <b/>
      <sz val="11"/>
      <color rgb="FF000000"/>
      <name val="Times New Roman"/>
      <family val="1"/>
    </font>
    <font>
      <b/>
      <sz val="11"/>
      <color rgb="FF000000"/>
      <name val="Calibri"/>
      <family val="2"/>
      <scheme val="minor"/>
    </font>
    <font>
      <b/>
      <sz val="11"/>
      <color theme="1"/>
      <name val="Times New Roman"/>
      <family val="1"/>
    </font>
    <font>
      <b/>
      <i/>
      <sz val="14"/>
      <color rgb="FF000000"/>
      <name val="Times New Roman"/>
      <family val="1"/>
    </font>
    <font>
      <sz val="11"/>
      <color theme="1"/>
      <name val="Times New Roman"/>
      <family val="1"/>
    </font>
  </fonts>
  <fills count="9">
    <fill>
      <patternFill patternType="none"/>
    </fill>
    <fill>
      <patternFill patternType="gray125"/>
    </fill>
    <fill>
      <patternFill patternType="solid">
        <fgColor rgb="FFFFFFC8"/>
        <bgColor indexed="64"/>
      </patternFill>
    </fill>
    <fill>
      <patternFill patternType="solid">
        <fgColor rgb="FFC8FFC8"/>
        <bgColor indexed="64"/>
      </patternFill>
    </fill>
    <fill>
      <patternFill patternType="solid">
        <fgColor rgb="FFFFE6C8"/>
        <bgColor indexed="64"/>
      </patternFill>
    </fill>
    <fill>
      <patternFill patternType="solid">
        <fgColor rgb="FFDCFFDC"/>
        <bgColor indexed="64"/>
      </patternFill>
    </fill>
    <fill>
      <patternFill patternType="solid">
        <fgColor rgb="FFDCE6FF"/>
        <bgColor indexed="64"/>
      </patternFill>
    </fill>
    <fill>
      <patternFill patternType="solid">
        <fgColor rgb="FFF0F0F0"/>
        <bgColor indexed="64"/>
      </patternFill>
    </fill>
    <fill>
      <patternFill patternType="solid">
        <fgColor rgb="FFFFFF99"/>
        <bgColor indexed="64"/>
      </patternFill>
    </fill>
  </fills>
  <borders count="21">
    <border>
      <left/>
      <right/>
      <top/>
      <bottom/>
      <diagonal/>
    </border>
    <border>
      <left/>
      <right/>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top/>
      <bottom style="thick">
        <color auto="1"/>
      </bottom>
      <diagonal/>
    </border>
    <border>
      <left/>
      <right/>
      <top/>
      <bottom style="thick">
        <color auto="1"/>
      </bottom>
      <diagonal/>
    </border>
    <border>
      <left/>
      <right style="thick">
        <color indexed="64"/>
      </right>
      <top/>
      <bottom style="thick">
        <color auto="1"/>
      </bottom>
      <diagonal/>
    </border>
    <border>
      <left style="thick">
        <color indexed="64"/>
      </left>
      <right/>
      <top/>
      <bottom style="thin">
        <color indexed="64"/>
      </bottom>
      <diagonal/>
    </border>
    <border>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s>
  <cellStyleXfs count="1">
    <xf numFmtId="0" fontId="0" fillId="0" borderId="0"/>
  </cellStyleXfs>
  <cellXfs count="73">
    <xf numFmtId="0" fontId="0" fillId="0" borderId="0" xfId="0"/>
    <xf numFmtId="0" fontId="3" fillId="0" borderId="0" xfId="0" applyFont="1" applyAlignment="1">
      <alignment horizontal="center" vertical="center"/>
    </xf>
    <xf numFmtId="0" fontId="3" fillId="0" borderId="1" xfId="0" applyFont="1" applyBorder="1" applyAlignment="1">
      <alignment horizontal="center" vertical="center"/>
    </xf>
    <xf numFmtId="0" fontId="2" fillId="0" borderId="2" xfId="0" applyFont="1" applyBorder="1" applyAlignment="1">
      <alignment horizontal="center" vertical="center" wrapText="1"/>
    </xf>
    <xf numFmtId="49" fontId="4"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1" fontId="4" fillId="0" borderId="5" xfId="0" applyNumberFormat="1" applyFont="1" applyBorder="1" applyAlignment="1">
      <alignment horizontal="center" vertical="center"/>
    </xf>
    <xf numFmtId="49" fontId="4" fillId="0" borderId="6" xfId="0" applyNumberFormat="1" applyFont="1" applyBorder="1" applyAlignment="1">
      <alignment horizontal="center" vertical="center"/>
    </xf>
    <xf numFmtId="0" fontId="5" fillId="0" borderId="6" xfId="0" applyFont="1" applyBorder="1" applyAlignment="1">
      <alignment vertical="center" wrapText="1"/>
    </xf>
    <xf numFmtId="0" fontId="0" fillId="0" borderId="7" xfId="0" applyBorder="1" applyAlignment="1">
      <alignment horizontal="center" vertical="center"/>
    </xf>
    <xf numFmtId="0" fontId="0" fillId="0" borderId="8" xfId="0" applyBorder="1" applyAlignment="1">
      <alignment vertical="center"/>
    </xf>
    <xf numFmtId="0" fontId="0" fillId="2" borderId="8" xfId="0" applyFill="1" applyBorder="1" applyAlignment="1">
      <alignment horizontal="right" vertical="center"/>
    </xf>
    <xf numFmtId="0" fontId="2" fillId="0" borderId="8" xfId="0" applyFont="1" applyBorder="1" applyAlignment="1">
      <alignment horizontal="left" vertical="center"/>
    </xf>
    <xf numFmtId="0" fontId="0" fillId="3" borderId="8" xfId="0" applyFill="1" applyBorder="1" applyAlignment="1">
      <alignment horizontal="center" vertical="center" wrapText="1"/>
    </xf>
    <xf numFmtId="0" fontId="0" fillId="4" borderId="8" xfId="0" applyFill="1" applyBorder="1" applyAlignment="1">
      <alignment horizontal="right" vertical="center"/>
    </xf>
    <xf numFmtId="0" fontId="2" fillId="0" borderId="9" xfId="0" applyFont="1" applyBorder="1" applyAlignment="1">
      <alignment horizontal="center" vertical="center"/>
    </xf>
    <xf numFmtId="0" fontId="2" fillId="0" borderId="6" xfId="0" applyFont="1" applyBorder="1" applyAlignment="1">
      <alignment horizontal="center" vertical="center"/>
    </xf>
    <xf numFmtId="0" fontId="0" fillId="0" borderId="6" xfId="0" applyBorder="1" applyAlignment="1">
      <alignment vertical="center"/>
    </xf>
    <xf numFmtId="0" fontId="0" fillId="0" borderId="6" xfId="0" applyBorder="1" applyAlignment="1">
      <alignment horizontal="center" vertical="center"/>
    </xf>
    <xf numFmtId="164" fontId="0" fillId="2" borderId="6" xfId="0" applyNumberFormat="1" applyFill="1" applyBorder="1" applyAlignment="1">
      <alignment horizontal="right" vertical="center"/>
    </xf>
    <xf numFmtId="0" fontId="2" fillId="0" borderId="6" xfId="0" applyFont="1" applyBorder="1" applyAlignment="1">
      <alignment horizontal="left" vertical="center"/>
    </xf>
    <xf numFmtId="0" fontId="0" fillId="3" borderId="6" xfId="0" applyFill="1" applyBorder="1" applyAlignment="1">
      <alignment horizontal="center" vertical="center" wrapText="1"/>
    </xf>
    <xf numFmtId="0" fontId="0" fillId="4" borderId="6" xfId="0" applyFill="1" applyBorder="1" applyAlignment="1">
      <alignment horizontal="right" vertical="center"/>
    </xf>
    <xf numFmtId="0" fontId="2" fillId="0" borderId="10" xfId="0" applyFont="1" applyBorder="1" applyAlignment="1">
      <alignment horizontal="center" vertical="center"/>
    </xf>
    <xf numFmtId="1" fontId="4" fillId="5" borderId="5" xfId="0" applyNumberFormat="1" applyFont="1" applyFill="1" applyBorder="1" applyAlignment="1">
      <alignment horizontal="center" vertical="center"/>
    </xf>
    <xf numFmtId="0" fontId="2" fillId="5" borderId="6" xfId="0" applyFont="1" applyFill="1" applyBorder="1" applyAlignment="1">
      <alignment horizontal="center" vertical="center"/>
    </xf>
    <xf numFmtId="0" fontId="2" fillId="5" borderId="6" xfId="0" applyFont="1" applyFill="1" applyBorder="1" applyAlignment="1">
      <alignment vertical="center"/>
    </xf>
    <xf numFmtId="0" fontId="2" fillId="5" borderId="6" xfId="0" applyFont="1" applyFill="1" applyBorder="1" applyAlignment="1">
      <alignment horizontal="center" vertical="center"/>
    </xf>
    <xf numFmtId="164" fontId="2" fillId="2" borderId="6" xfId="0" applyNumberFormat="1" applyFont="1" applyFill="1" applyBorder="1" applyAlignment="1">
      <alignment horizontal="right" vertical="center"/>
    </xf>
    <xf numFmtId="0" fontId="2" fillId="5" borderId="6" xfId="0" applyFont="1" applyFill="1" applyBorder="1" applyAlignment="1">
      <alignment horizontal="left" vertical="center"/>
    </xf>
    <xf numFmtId="0" fontId="2" fillId="3" borderId="6" xfId="0" applyFont="1" applyFill="1" applyBorder="1" applyAlignment="1">
      <alignment horizontal="center" vertical="center" wrapText="1"/>
    </xf>
    <xf numFmtId="165" fontId="2" fillId="4" borderId="6" xfId="0" applyNumberFormat="1" applyFont="1" applyFill="1" applyBorder="1" applyAlignment="1">
      <alignment horizontal="right" vertical="center"/>
    </xf>
    <xf numFmtId="0" fontId="2" fillId="5" borderId="10" xfId="0" applyFont="1" applyFill="1" applyBorder="1" applyAlignment="1">
      <alignment horizontal="center" vertical="center"/>
    </xf>
    <xf numFmtId="1" fontId="4" fillId="6" borderId="5" xfId="0" applyNumberFormat="1" applyFont="1" applyFill="1" applyBorder="1" applyAlignment="1">
      <alignment horizontal="center" vertical="center"/>
    </xf>
    <xf numFmtId="0" fontId="2" fillId="6" borderId="6" xfId="0" applyFont="1" applyFill="1" applyBorder="1" applyAlignment="1">
      <alignment horizontal="center" vertical="center"/>
    </xf>
    <xf numFmtId="0" fontId="2" fillId="6" borderId="6" xfId="0" applyFont="1" applyFill="1" applyBorder="1" applyAlignment="1">
      <alignment vertical="center"/>
    </xf>
    <xf numFmtId="0" fontId="2" fillId="6" borderId="6" xfId="0" applyFont="1" applyFill="1" applyBorder="1" applyAlignment="1">
      <alignment horizontal="center" vertical="center"/>
    </xf>
    <xf numFmtId="0" fontId="2" fillId="6" borderId="6" xfId="0" applyFont="1" applyFill="1" applyBorder="1" applyAlignment="1">
      <alignment horizontal="left" vertical="center" wrapText="1"/>
    </xf>
    <xf numFmtId="0" fontId="2" fillId="4" borderId="6" xfId="0" applyFont="1" applyFill="1" applyBorder="1" applyAlignment="1">
      <alignment horizontal="right" vertical="center"/>
    </xf>
    <xf numFmtId="166" fontId="2" fillId="6" borderId="10" xfId="0" applyNumberFormat="1" applyFont="1" applyFill="1" applyBorder="1" applyAlignment="1">
      <alignment horizontal="center" vertical="center"/>
    </xf>
    <xf numFmtId="1" fontId="4" fillId="7" borderId="5" xfId="0" applyNumberFormat="1" applyFont="1" applyFill="1" applyBorder="1" applyAlignment="1">
      <alignment horizontal="center" vertical="center"/>
    </xf>
    <xf numFmtId="0" fontId="2" fillId="7" borderId="6" xfId="0" applyFont="1" applyFill="1" applyBorder="1" applyAlignment="1">
      <alignment horizontal="center" vertical="center"/>
    </xf>
    <xf numFmtId="0" fontId="0" fillId="7" borderId="6" xfId="0" applyFill="1" applyBorder="1" applyAlignment="1">
      <alignment vertical="center"/>
    </xf>
    <xf numFmtId="0" fontId="0" fillId="7" borderId="6" xfId="0" applyFill="1" applyBorder="1" applyAlignment="1">
      <alignment horizontal="center" vertical="center"/>
    </xf>
    <xf numFmtId="0" fontId="0" fillId="2" borderId="6" xfId="0" applyFill="1" applyBorder="1" applyAlignment="1">
      <alignment horizontal="right" vertical="center"/>
    </xf>
    <xf numFmtId="0" fontId="2" fillId="7" borderId="6" xfId="0" applyFont="1" applyFill="1" applyBorder="1" applyAlignment="1">
      <alignment horizontal="left" vertical="center"/>
    </xf>
    <xf numFmtId="0" fontId="2" fillId="7" borderId="10" xfId="0" applyFont="1" applyFill="1" applyBorder="1" applyAlignment="1">
      <alignment horizontal="center" vertical="center"/>
    </xf>
    <xf numFmtId="0" fontId="2" fillId="6" borderId="5" xfId="0" applyFont="1" applyFill="1" applyBorder="1" applyAlignment="1">
      <alignment horizontal="center" vertical="center"/>
    </xf>
    <xf numFmtId="0" fontId="0" fillId="0" borderId="0" xfId="0" applyAlignment="1">
      <alignment vertical="center"/>
    </xf>
    <xf numFmtId="0" fontId="0" fillId="7" borderId="11" xfId="0" applyFill="1" applyBorder="1" applyAlignment="1">
      <alignment horizontal="center" vertical="center"/>
    </xf>
    <xf numFmtId="0" fontId="2" fillId="7" borderId="12" xfId="0" applyFont="1" applyFill="1" applyBorder="1" applyAlignment="1">
      <alignment horizontal="center" vertical="center"/>
    </xf>
    <xf numFmtId="0" fontId="0" fillId="7" borderId="12" xfId="0" applyFill="1" applyBorder="1" applyAlignment="1">
      <alignment vertical="center"/>
    </xf>
    <xf numFmtId="0" fontId="0" fillId="7" borderId="12" xfId="0" applyFill="1" applyBorder="1" applyAlignment="1">
      <alignment horizontal="center" vertical="center"/>
    </xf>
    <xf numFmtId="0" fontId="2" fillId="7" borderId="13" xfId="0" applyFont="1" applyFill="1" applyBorder="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1" fillId="0" borderId="0" xfId="0" applyFont="1"/>
    <xf numFmtId="0" fontId="7" fillId="8" borderId="14" xfId="0" applyFont="1" applyFill="1" applyBorder="1" applyAlignment="1">
      <alignment horizontal="centerContinuous" vertical="center"/>
    </xf>
    <xf numFmtId="0" fontId="8" fillId="8" borderId="15" xfId="0" applyFont="1" applyFill="1" applyBorder="1" applyAlignment="1">
      <alignment horizontal="centerContinuous"/>
    </xf>
    <xf numFmtId="166" fontId="8" fillId="8" borderId="16" xfId="0" applyNumberFormat="1" applyFont="1" applyFill="1" applyBorder="1" applyAlignment="1">
      <alignment horizontal="center" vertical="center"/>
    </xf>
    <xf numFmtId="0" fontId="7" fillId="8" borderId="17" xfId="0" applyFont="1" applyFill="1" applyBorder="1" applyAlignment="1">
      <alignment horizontal="centerContinuous" vertical="center"/>
    </xf>
    <xf numFmtId="0" fontId="8" fillId="8" borderId="8" xfId="0" applyFont="1" applyFill="1" applyBorder="1" applyAlignment="1">
      <alignment horizontal="centerContinuous"/>
    </xf>
    <xf numFmtId="166" fontId="8" fillId="8" borderId="9" xfId="0" applyNumberFormat="1" applyFont="1" applyFill="1" applyBorder="1" applyAlignment="1">
      <alignment horizontal="center" vertical="center"/>
    </xf>
    <xf numFmtId="0" fontId="7" fillId="8" borderId="18" xfId="0" applyFont="1" applyFill="1" applyBorder="1" applyAlignment="1">
      <alignment horizontal="centerContinuous" vertical="center"/>
    </xf>
    <xf numFmtId="0" fontId="8" fillId="8" borderId="19" xfId="0" applyFont="1" applyFill="1" applyBorder="1" applyAlignment="1">
      <alignment horizontal="centerContinuous"/>
    </xf>
    <xf numFmtId="166" fontId="8" fillId="8" borderId="20" xfId="0" applyNumberFormat="1" applyFont="1" applyFill="1" applyBorder="1" applyAlignment="1">
      <alignment horizontal="center" vertical="center"/>
    </xf>
    <xf numFmtId="0" fontId="9" fillId="0" borderId="0" xfId="0" applyFont="1" applyAlignment="1">
      <alignment horizontal="centerContinuous" vertical="center"/>
    </xf>
    <xf numFmtId="0" fontId="2" fillId="0" borderId="0" xfId="0" applyFont="1" applyAlignment="1">
      <alignment horizontal="centerContinuous"/>
    </xf>
    <xf numFmtId="0" fontId="10" fillId="0" borderId="0" xfId="0" applyFont="1" applyAlignment="1">
      <alignment horizontal="right" vertical="center" wrapText="1"/>
    </xf>
    <xf numFmtId="0" fontId="10" fillId="0" borderId="0" xfId="0" applyFont="1" applyAlignment="1">
      <alignment horizontal="centerContinuous" vertical="center" wrapText="1"/>
    </xf>
    <xf numFmtId="0" fontId="11" fillId="0" borderId="0" xfId="0" applyFont="1" applyAlignment="1">
      <alignment horizontal="centerContinuous"/>
    </xf>
    <xf numFmtId="0" fontId="2" fillId="0" borderId="0" xfId="0" applyFont="1" applyAlignment="1">
      <alignment vertical="center"/>
    </xf>
  </cellXfs>
  <cellStyles count="1">
    <cellStyle name="Normal" xfId="0" builtinId="0"/>
  </cellStyles>
  <dxfs count="7">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2679C-2E88-425D-A0F5-CD47EB4267EC}">
  <dimension ref="A1:N74"/>
  <sheetViews>
    <sheetView showGridLines="0" tabSelected="1" workbookViewId="0">
      <pane ySplit="4" topLeftCell="A5" activePane="bottomLeft" state="frozen"/>
      <selection pane="bottomLeft" activeCell="C10" sqref="C10"/>
    </sheetView>
  </sheetViews>
  <sheetFormatPr defaultColWidth="0" defaultRowHeight="0" customHeight="1" zeroHeight="1" x14ac:dyDescent="0.25"/>
  <cols>
    <col min="1" max="1" width="12.140625" style="55" customWidth="1"/>
    <col min="2" max="2" width="12.140625" style="56" customWidth="1"/>
    <col min="3" max="3" width="79.5703125" style="49" customWidth="1"/>
    <col min="4" max="4" width="12.140625" style="55" customWidth="1"/>
    <col min="5" max="7" width="12.140625" style="49" customWidth="1"/>
    <col min="8" max="8" width="12.140625" style="55" customWidth="1"/>
    <col min="9" max="9" width="12.140625" style="72" customWidth="1"/>
    <col min="10" max="11" width="12.140625" style="49" customWidth="1"/>
    <col min="12" max="12" width="10.42578125" style="49" bestFit="1" customWidth="1"/>
    <col min="13" max="13" width="10.42578125" customWidth="1"/>
    <col min="14" max="14" width="6.42578125" customWidth="1"/>
    <col min="15" max="16384" width="10.42578125" hidden="1"/>
  </cols>
  <sheetData>
    <row r="1" spans="1:12" ht="15" x14ac:dyDescent="0.25">
      <c r="A1" s="1" t="s">
        <v>0</v>
      </c>
      <c r="B1" s="1"/>
      <c r="C1" s="1"/>
      <c r="D1" s="1"/>
      <c r="E1" s="1"/>
      <c r="F1" s="1"/>
      <c r="G1" s="1"/>
      <c r="H1" s="1"/>
      <c r="I1" s="1"/>
      <c r="J1" s="1"/>
      <c r="K1" s="1"/>
      <c r="L1" s="1"/>
    </row>
    <row r="2" spans="1:12" ht="15" x14ac:dyDescent="0.25">
      <c r="A2" s="1"/>
      <c r="B2" s="1"/>
      <c r="C2" s="1"/>
      <c r="D2" s="1"/>
      <c r="E2" s="1"/>
      <c r="F2" s="1"/>
      <c r="G2" s="1"/>
      <c r="H2" s="1"/>
      <c r="I2" s="1"/>
      <c r="J2" s="1"/>
      <c r="K2" s="1"/>
      <c r="L2" s="1"/>
    </row>
    <row r="3" spans="1:12" ht="15.75" thickBot="1" x14ac:dyDescent="0.3">
      <c r="A3" s="2"/>
      <c r="B3" s="2"/>
      <c r="C3" s="2"/>
      <c r="D3" s="2"/>
      <c r="E3" s="2"/>
      <c r="F3" s="2"/>
      <c r="G3" s="2"/>
      <c r="H3" s="2"/>
      <c r="I3" s="2"/>
      <c r="J3" s="2"/>
      <c r="K3" s="2"/>
      <c r="L3" s="2"/>
    </row>
    <row r="4" spans="1:12" ht="32.25" thickTop="1" x14ac:dyDescent="0.25">
      <c r="A4" s="3" t="s">
        <v>1</v>
      </c>
      <c r="B4" s="4" t="s">
        <v>2</v>
      </c>
      <c r="C4" s="5" t="s">
        <v>3</v>
      </c>
      <c r="D4" s="5" t="s">
        <v>4</v>
      </c>
      <c r="E4" s="5" t="s">
        <v>5</v>
      </c>
      <c r="F4" s="5" t="s">
        <v>6</v>
      </c>
      <c r="G4" s="5" t="s">
        <v>7</v>
      </c>
      <c r="H4" s="5" t="s">
        <v>8</v>
      </c>
      <c r="I4" s="5" t="s">
        <v>9</v>
      </c>
      <c r="J4" s="5" t="s">
        <v>10</v>
      </c>
      <c r="K4" s="5" t="s">
        <v>11</v>
      </c>
      <c r="L4" s="6" t="s">
        <v>12</v>
      </c>
    </row>
    <row r="5" spans="1:12" ht="87.75" x14ac:dyDescent="0.25">
      <c r="A5" s="7">
        <f>IFERROR(LOOKUP(2,1/(ISNUMBER($A$4:$A$4)),$A$4:$A$4),0)+1</f>
        <v>1</v>
      </c>
      <c r="B5" s="8" t="s">
        <v>13</v>
      </c>
      <c r="C5" s="9" t="s">
        <v>14</v>
      </c>
      <c r="D5" s="10"/>
      <c r="E5" s="11"/>
      <c r="F5" s="11"/>
      <c r="G5" s="11"/>
      <c r="H5" s="12"/>
      <c r="I5" s="13"/>
      <c r="J5" s="14"/>
      <c r="K5" s="15"/>
      <c r="L5" s="16"/>
    </row>
    <row r="6" spans="1:12" ht="15.75" x14ac:dyDescent="0.25">
      <c r="A6" s="7"/>
      <c r="B6" s="17"/>
      <c r="C6" s="18"/>
      <c r="D6" s="19">
        <v>1</v>
      </c>
      <c r="E6" s="18">
        <v>1</v>
      </c>
      <c r="F6" s="18">
        <v>6.5</v>
      </c>
      <c r="G6" s="18">
        <v>3</v>
      </c>
      <c r="H6" s="20">
        <f>D6*IF(OR(E6=0,E6="-"),1,E6)*IF(OR(F6=0,F6="-"),1,F6)*IF(OR(G6=0,G6="-"),1,G6)</f>
        <v>19.5</v>
      </c>
      <c r="I6" s="21" t="s">
        <v>15</v>
      </c>
      <c r="J6" s="22"/>
      <c r="K6" s="23"/>
      <c r="L6" s="24"/>
    </row>
    <row r="7" spans="1:12" ht="15.75" x14ac:dyDescent="0.25">
      <c r="A7" s="25"/>
      <c r="B7" s="26"/>
      <c r="C7" s="27"/>
      <c r="D7" s="26"/>
      <c r="E7" s="27"/>
      <c r="F7" s="28" t="s">
        <v>16</v>
      </c>
      <c r="G7" s="28"/>
      <c r="H7" s="29">
        <f>SUM(H6:H6)</f>
        <v>19.5</v>
      </c>
      <c r="I7" s="30" t="s">
        <v>15</v>
      </c>
      <c r="J7" s="31"/>
      <c r="K7" s="32">
        <f>0</f>
        <v>0</v>
      </c>
      <c r="L7" s="33"/>
    </row>
    <row r="8" spans="1:12" ht="30" x14ac:dyDescent="0.25">
      <c r="A8" s="34"/>
      <c r="B8" s="35"/>
      <c r="C8" s="36"/>
      <c r="D8" s="35"/>
      <c r="E8" s="37" t="s">
        <v>17</v>
      </c>
      <c r="F8" s="37"/>
      <c r="G8" s="37"/>
      <c r="H8" s="29">
        <f>ROUND(H7*0.0283,3)</f>
        <v>0.55200000000000005</v>
      </c>
      <c r="I8" s="38" t="s">
        <v>18</v>
      </c>
      <c r="J8" s="31" t="s">
        <v>19</v>
      </c>
      <c r="K8" s="39">
        <f>IF(B5="4.14.1",IF(J8="Labour Rate",20,IF(J8="Machinery Rate",63,IF(J8="Through Rate",83,0))),"")</f>
        <v>83</v>
      </c>
      <c r="L8" s="40">
        <f>IF(H8*K8&lt;&gt;0,H8*K8,0)</f>
        <v>45.816000000000003</v>
      </c>
    </row>
    <row r="9" spans="1:12" ht="14.1" customHeight="1" x14ac:dyDescent="0.25">
      <c r="A9" s="41"/>
      <c r="B9" s="42"/>
      <c r="C9" s="43"/>
      <c r="D9" s="44"/>
      <c r="E9" s="43"/>
      <c r="F9" s="43"/>
      <c r="G9" s="43"/>
      <c r="H9" s="45"/>
      <c r="I9" s="46"/>
      <c r="J9" s="22"/>
      <c r="K9" s="23"/>
      <c r="L9" s="47"/>
    </row>
    <row r="10" spans="1:12" ht="87.75" x14ac:dyDescent="0.25">
      <c r="A10" s="7">
        <f>IFERROR(LOOKUP(2,1/(ISNUMBER($A$4:$A$9)),$A$4:$A$9),0)+1</f>
        <v>2</v>
      </c>
      <c r="B10" s="8" t="s">
        <v>20</v>
      </c>
      <c r="C10" s="9" t="s">
        <v>21</v>
      </c>
      <c r="D10" s="10"/>
      <c r="E10" s="11"/>
      <c r="F10" s="11"/>
      <c r="G10" s="11"/>
      <c r="H10" s="12"/>
      <c r="I10" s="13"/>
      <c r="J10" s="14"/>
      <c r="K10" s="15"/>
      <c r="L10" s="16"/>
    </row>
    <row r="11" spans="1:12" ht="15.75" x14ac:dyDescent="0.25">
      <c r="A11" s="7"/>
      <c r="B11" s="17"/>
      <c r="C11" s="18"/>
      <c r="D11" s="19">
        <v>1</v>
      </c>
      <c r="E11" s="18">
        <v>1</v>
      </c>
      <c r="F11" s="18">
        <v>6.5</v>
      </c>
      <c r="G11" s="18">
        <v>0.75</v>
      </c>
      <c r="H11" s="20">
        <f>D11*IF(OR(E11=0,E11="-"),1,E11)*IF(OR(F11=0,F11="-"),1,F11)*IF(OR(G11=0,G11="-"),1,G11)</f>
        <v>4.875</v>
      </c>
      <c r="I11" s="21" t="s">
        <v>15</v>
      </c>
      <c r="J11" s="22"/>
      <c r="K11" s="23"/>
      <c r="L11" s="24"/>
    </row>
    <row r="12" spans="1:12" ht="15.75" x14ac:dyDescent="0.25">
      <c r="A12" s="25"/>
      <c r="B12" s="26"/>
      <c r="C12" s="27"/>
      <c r="D12" s="26"/>
      <c r="E12" s="27"/>
      <c r="F12" s="28" t="s">
        <v>16</v>
      </c>
      <c r="G12" s="28"/>
      <c r="H12" s="29">
        <f>SUM(H11:H11)</f>
        <v>4.875</v>
      </c>
      <c r="I12" s="30" t="s">
        <v>15</v>
      </c>
      <c r="J12" s="31"/>
      <c r="K12" s="32">
        <f>0</f>
        <v>0</v>
      </c>
      <c r="L12" s="33"/>
    </row>
    <row r="13" spans="1:12" ht="30" x14ac:dyDescent="0.25">
      <c r="A13" s="34"/>
      <c r="B13" s="35"/>
      <c r="C13" s="36"/>
      <c r="D13" s="35"/>
      <c r="E13" s="37" t="s">
        <v>17</v>
      </c>
      <c r="F13" s="37"/>
      <c r="G13" s="37"/>
      <c r="H13" s="29">
        <f>ROUND(H12*0.0283,3)</f>
        <v>0.13800000000000001</v>
      </c>
      <c r="I13" s="38" t="s">
        <v>18</v>
      </c>
      <c r="J13" s="31" t="s">
        <v>19</v>
      </c>
      <c r="K13" s="39">
        <f>IF(B10="6.2.4",IF(J13="Labour Rate",480,IF(J13="Material Rate",1718,IF(J13="Through Rate",2199,0))),"")</f>
        <v>2199</v>
      </c>
      <c r="L13" s="40">
        <f>IF(H13*K13&lt;&gt;0,H13*K13,0)</f>
        <v>303.46200000000005</v>
      </c>
    </row>
    <row r="14" spans="1:12" ht="14.1" customHeight="1" x14ac:dyDescent="0.25">
      <c r="A14" s="41"/>
      <c r="B14" s="42"/>
      <c r="C14" s="43"/>
      <c r="D14" s="44"/>
      <c r="E14" s="43"/>
      <c r="F14" s="43"/>
      <c r="G14" s="43"/>
      <c r="H14" s="45"/>
      <c r="I14" s="46"/>
      <c r="J14" s="22"/>
      <c r="K14" s="23"/>
      <c r="L14" s="47"/>
    </row>
    <row r="15" spans="1:12" ht="49.5" x14ac:dyDescent="0.25">
      <c r="A15" s="7">
        <f>IFERROR(LOOKUP(2,1/(ISNUMBER($A$4:$A$14)),$A$4:$A$14),0)+1</f>
        <v>3</v>
      </c>
      <c r="B15" s="8" t="s">
        <v>22</v>
      </c>
      <c r="C15" s="9" t="s">
        <v>23</v>
      </c>
      <c r="D15" s="10"/>
      <c r="E15" s="11"/>
      <c r="F15" s="11"/>
      <c r="G15" s="11"/>
      <c r="H15" s="12"/>
      <c r="I15" s="13"/>
      <c r="J15" s="14"/>
      <c r="K15" s="15"/>
      <c r="L15" s="16"/>
    </row>
    <row r="16" spans="1:12" ht="15.75" x14ac:dyDescent="0.25">
      <c r="A16" s="7"/>
      <c r="B16" s="17"/>
      <c r="C16" s="18"/>
      <c r="D16" s="19">
        <v>1</v>
      </c>
      <c r="E16" s="18">
        <v>1</v>
      </c>
      <c r="F16" s="18">
        <v>5.75</v>
      </c>
      <c r="G16" s="18">
        <v>0.5</v>
      </c>
      <c r="H16" s="20">
        <f>D16*IF(OR(E16=0,E16="-"),1,E16)*IF(OR(F16=0,F16="-"),1,F16)*IF(OR(G16=0,G16="-"),1,G16)</f>
        <v>2.875</v>
      </c>
      <c r="I16" s="21" t="s">
        <v>15</v>
      </c>
      <c r="J16" s="22"/>
      <c r="K16" s="23"/>
      <c r="L16" s="24"/>
    </row>
    <row r="17" spans="1:12" ht="15.75" x14ac:dyDescent="0.25">
      <c r="A17" s="7"/>
      <c r="B17" s="17"/>
      <c r="C17" s="18"/>
      <c r="D17" s="19">
        <v>1</v>
      </c>
      <c r="E17" s="18">
        <v>1</v>
      </c>
      <c r="F17" s="18">
        <v>5</v>
      </c>
      <c r="G17" s="18">
        <v>0.5</v>
      </c>
      <c r="H17" s="20">
        <f>D17*IF(OR(E17=0,E17="-"),1,E17)*IF(OR(F17=0,F17="-"),1,F17)*IF(OR(G17=0,G17="-"),1,G17)</f>
        <v>2.5</v>
      </c>
      <c r="I17" s="21" t="s">
        <v>15</v>
      </c>
      <c r="J17" s="22"/>
      <c r="K17" s="23"/>
      <c r="L17" s="24"/>
    </row>
    <row r="18" spans="1:12" ht="15.75" x14ac:dyDescent="0.25">
      <c r="A18" s="7"/>
      <c r="B18" s="17"/>
      <c r="C18" s="18"/>
      <c r="D18" s="19">
        <v>1</v>
      </c>
      <c r="E18" s="18">
        <v>1</v>
      </c>
      <c r="F18" s="18">
        <v>4.25</v>
      </c>
      <c r="G18" s="18">
        <v>0.5</v>
      </c>
      <c r="H18" s="20">
        <f>D18*IF(OR(E18=0,E18="-"),1,E18)*IF(OR(F18=0,F18="-"),1,F18)*IF(OR(G18=0,G18="-"),1,G18)</f>
        <v>2.125</v>
      </c>
      <c r="I18" s="21" t="s">
        <v>15</v>
      </c>
      <c r="J18" s="22"/>
      <c r="K18" s="23"/>
      <c r="L18" s="24"/>
    </row>
    <row r="19" spans="1:12" ht="15.75" x14ac:dyDescent="0.25">
      <c r="A19" s="7"/>
      <c r="B19" s="17"/>
      <c r="C19" s="18"/>
      <c r="D19" s="19">
        <v>1</v>
      </c>
      <c r="E19" s="18">
        <v>1</v>
      </c>
      <c r="F19" s="18">
        <v>2.625</v>
      </c>
      <c r="G19" s="18">
        <v>10.5</v>
      </c>
      <c r="H19" s="20">
        <f>D19*IF(OR(E19=0,E19="-"),1,E19)*IF(OR(F19=0,F19="-"),1,F19)*IF(OR(G19=0,G19="-"),1,G19)</f>
        <v>27.5625</v>
      </c>
      <c r="I19" s="21" t="s">
        <v>15</v>
      </c>
      <c r="J19" s="22"/>
      <c r="K19" s="23"/>
      <c r="L19" s="24"/>
    </row>
    <row r="20" spans="1:12" ht="15.75" x14ac:dyDescent="0.25">
      <c r="A20" s="7"/>
      <c r="B20" s="17"/>
      <c r="C20" s="18"/>
      <c r="D20" s="19">
        <v>1</v>
      </c>
      <c r="E20" s="18">
        <v>1</v>
      </c>
      <c r="F20" s="18">
        <v>1.125</v>
      </c>
      <c r="G20" s="18">
        <v>1.5</v>
      </c>
      <c r="H20" s="20">
        <f>D20*IF(OR(E20=0,E20="-"),1,E20)*IF(OR(F20=0,F20="-"),1,F20)*IF(OR(G20=0,G20="-"),1,G20)</f>
        <v>1.6875</v>
      </c>
      <c r="I20" s="21" t="s">
        <v>15</v>
      </c>
      <c r="J20" s="22"/>
      <c r="K20" s="23"/>
      <c r="L20" s="24"/>
    </row>
    <row r="21" spans="1:12" ht="15.75" x14ac:dyDescent="0.25">
      <c r="A21" s="25"/>
      <c r="B21" s="26"/>
      <c r="C21" s="27"/>
      <c r="D21" s="26"/>
      <c r="E21" s="27"/>
      <c r="F21" s="28" t="s">
        <v>16</v>
      </c>
      <c r="G21" s="28"/>
      <c r="H21" s="29">
        <f>SUM(H16:H20)</f>
        <v>36.75</v>
      </c>
      <c r="I21" s="30" t="s">
        <v>15</v>
      </c>
      <c r="J21" s="31"/>
      <c r="K21" s="32">
        <f>0</f>
        <v>0</v>
      </c>
      <c r="L21" s="33"/>
    </row>
    <row r="22" spans="1:12" ht="30" x14ac:dyDescent="0.25">
      <c r="A22" s="34"/>
      <c r="B22" s="35"/>
      <c r="C22" s="36"/>
      <c r="D22" s="35"/>
      <c r="E22" s="37" t="s">
        <v>17</v>
      </c>
      <c r="F22" s="37"/>
      <c r="G22" s="37"/>
      <c r="H22" s="29">
        <f>ROUND(H21*0.0283,3)</f>
        <v>1.04</v>
      </c>
      <c r="I22" s="38" t="s">
        <v>18</v>
      </c>
      <c r="J22" s="31" t="s">
        <v>24</v>
      </c>
      <c r="K22" s="39">
        <f>IF(B15="7.21.4",IF(J22="Labour Rate Amnd",823,IF(J22="Material Rate Amnd",3232,IF(J22="Through Rate Amnd",4055,0))),"")</f>
        <v>4055</v>
      </c>
      <c r="L22" s="40">
        <f>IF(H22*K22&lt;&gt;0,H22*K22,0)</f>
        <v>4217.2</v>
      </c>
    </row>
    <row r="23" spans="1:12" ht="14.1" customHeight="1" x14ac:dyDescent="0.25">
      <c r="A23" s="41"/>
      <c r="B23" s="42"/>
      <c r="C23" s="43"/>
      <c r="D23" s="44"/>
      <c r="E23" s="43"/>
      <c r="F23" s="43"/>
      <c r="G23" s="43"/>
      <c r="H23" s="45"/>
      <c r="I23" s="46"/>
      <c r="J23" s="22"/>
      <c r="K23" s="23"/>
      <c r="L23" s="47"/>
    </row>
    <row r="24" spans="1:12" ht="38.25" x14ac:dyDescent="0.25">
      <c r="A24" s="7">
        <f>IFERROR(LOOKUP(2,1/(ISNUMBER($A$4:$A$23)),$A$4:$A$23),0)+1</f>
        <v>4</v>
      </c>
      <c r="B24" s="8" t="s">
        <v>25</v>
      </c>
      <c r="C24" s="9" t="s">
        <v>26</v>
      </c>
      <c r="D24" s="10"/>
      <c r="E24" s="11"/>
      <c r="F24" s="11"/>
      <c r="G24" s="11"/>
      <c r="H24" s="12"/>
      <c r="I24" s="13"/>
      <c r="J24" s="14"/>
      <c r="K24" s="15"/>
      <c r="L24" s="16"/>
    </row>
    <row r="25" spans="1:12" ht="15.75" x14ac:dyDescent="0.25">
      <c r="A25" s="7"/>
      <c r="B25" s="17"/>
      <c r="C25" s="18"/>
      <c r="D25" s="19">
        <v>1</v>
      </c>
      <c r="E25" s="18">
        <v>1</v>
      </c>
      <c r="F25" s="18">
        <v>1.125</v>
      </c>
      <c r="G25" s="18"/>
      <c r="H25" s="20">
        <f>D25*IF(OR(E25=0,E25="-"),1,E25)*IF(OR(F25=0,F25="-"),1,F25)*IF(OR(G25=0,G25="-"),1,G25)</f>
        <v>1.125</v>
      </c>
      <c r="I25" s="21" t="s">
        <v>27</v>
      </c>
      <c r="J25" s="22"/>
      <c r="K25" s="23"/>
      <c r="L25" s="24"/>
    </row>
    <row r="26" spans="1:12" ht="15.75" x14ac:dyDescent="0.25">
      <c r="A26" s="25"/>
      <c r="B26" s="26"/>
      <c r="C26" s="27"/>
      <c r="D26" s="26"/>
      <c r="E26" s="27"/>
      <c r="F26" s="28" t="s">
        <v>28</v>
      </c>
      <c r="G26" s="28"/>
      <c r="H26" s="29">
        <f>SUM(H25:H25)</f>
        <v>1.125</v>
      </c>
      <c r="I26" s="30" t="s">
        <v>27</v>
      </c>
      <c r="J26" s="31"/>
      <c r="K26" s="32">
        <f>0</f>
        <v>0</v>
      </c>
      <c r="L26" s="33"/>
    </row>
    <row r="27" spans="1:12" ht="30" x14ac:dyDescent="0.25">
      <c r="A27" s="34"/>
      <c r="B27" s="35"/>
      <c r="C27" s="36"/>
      <c r="D27" s="35"/>
      <c r="E27" s="37" t="s">
        <v>29</v>
      </c>
      <c r="F27" s="37"/>
      <c r="G27" s="37"/>
      <c r="H27" s="29">
        <f>ROUND(H26*0.0929,3)</f>
        <v>0.105</v>
      </c>
      <c r="I27" s="38" t="s">
        <v>30</v>
      </c>
      <c r="J27" s="31" t="s">
        <v>19</v>
      </c>
      <c r="K27" s="39">
        <f>IF(B24="10.8",IF(J27="Labour Rate",70,IF(J27="Material Rate",112,IF(J27="Through Rate",181,0))),"")</f>
        <v>181</v>
      </c>
      <c r="L27" s="40">
        <f>IF(H27*K27&lt;&gt;0,H27*K27,0)</f>
        <v>19.004999999999999</v>
      </c>
    </row>
    <row r="28" spans="1:12" ht="14.1" customHeight="1" x14ac:dyDescent="0.25">
      <c r="A28" s="41"/>
      <c r="B28" s="42"/>
      <c r="C28" s="43"/>
      <c r="D28" s="44"/>
      <c r="E28" s="43"/>
      <c r="F28" s="43"/>
      <c r="G28" s="43"/>
      <c r="H28" s="45"/>
      <c r="I28" s="46"/>
      <c r="J28" s="22"/>
      <c r="K28" s="23"/>
      <c r="L28" s="47"/>
    </row>
    <row r="29" spans="1:12" ht="49.5" x14ac:dyDescent="0.25">
      <c r="A29" s="7">
        <f>IFERROR(LOOKUP(2,1/(ISNUMBER($A$4:$A$28)),$A$4:$A$28),0)+1</f>
        <v>5</v>
      </c>
      <c r="B29" s="8" t="s">
        <v>31</v>
      </c>
      <c r="C29" s="9" t="s">
        <v>32</v>
      </c>
      <c r="D29" s="10"/>
      <c r="E29" s="11"/>
      <c r="F29" s="11"/>
      <c r="G29" s="11"/>
      <c r="H29" s="12"/>
      <c r="I29" s="13"/>
      <c r="J29" s="14"/>
      <c r="K29" s="15"/>
      <c r="L29" s="16"/>
    </row>
    <row r="30" spans="1:12" ht="15.75" x14ac:dyDescent="0.25">
      <c r="A30" s="7"/>
      <c r="B30" s="17"/>
      <c r="C30" s="18"/>
      <c r="D30" s="19">
        <v>1</v>
      </c>
      <c r="E30" s="18">
        <v>1</v>
      </c>
      <c r="F30" s="18">
        <v>13</v>
      </c>
      <c r="G30" s="18"/>
      <c r="H30" s="20">
        <f>D30*IF(OR(E30=0,E30="-"),1,E30)*IF(OR(F30=0,F30="-"),1,F30)*IF(OR(G30=0,G30="-"),1,G30)</f>
        <v>13</v>
      </c>
      <c r="I30" s="21" t="s">
        <v>27</v>
      </c>
      <c r="J30" s="22"/>
      <c r="K30" s="23"/>
      <c r="L30" s="24"/>
    </row>
    <row r="31" spans="1:12" ht="15.75" x14ac:dyDescent="0.25">
      <c r="A31" s="25"/>
      <c r="B31" s="26"/>
      <c r="C31" s="27"/>
      <c r="D31" s="26"/>
      <c r="E31" s="27"/>
      <c r="F31" s="28" t="s">
        <v>28</v>
      </c>
      <c r="G31" s="28"/>
      <c r="H31" s="29">
        <f>SUM(H30:H30)</f>
        <v>13</v>
      </c>
      <c r="I31" s="30" t="s">
        <v>27</v>
      </c>
      <c r="J31" s="31"/>
      <c r="K31" s="32">
        <f>0</f>
        <v>0</v>
      </c>
      <c r="L31" s="33"/>
    </row>
    <row r="32" spans="1:12" ht="30" x14ac:dyDescent="0.25">
      <c r="A32" s="34"/>
      <c r="B32" s="35"/>
      <c r="C32" s="36"/>
      <c r="D32" s="35"/>
      <c r="E32" s="37" t="s">
        <v>29</v>
      </c>
      <c r="F32" s="37"/>
      <c r="G32" s="37"/>
      <c r="H32" s="29">
        <f>ROUND(H31*0.0929,3)</f>
        <v>1.208</v>
      </c>
      <c r="I32" s="38" t="s">
        <v>30</v>
      </c>
      <c r="J32" s="31" t="s">
        <v>24</v>
      </c>
      <c r="K32" s="39">
        <f>IF(B29="11.25.1",IF(J32="Labour Rate Amnd",68,IF(J32="Material Rate Amnd",12,IF(J32="Through Rate Amnd",79,IF(J32="Labour Rate",33,IF(J32="Material Rate",12,IF(J32="Through Rate",45,0)))))),"")</f>
        <v>79</v>
      </c>
      <c r="L32" s="40">
        <f>IF(H32*K32&lt;&gt;0,H32*K32,0)</f>
        <v>95.432000000000002</v>
      </c>
    </row>
    <row r="33" spans="1:13" ht="14.1" customHeight="1" x14ac:dyDescent="0.25">
      <c r="A33" s="41"/>
      <c r="B33" s="42"/>
      <c r="C33" s="43"/>
      <c r="D33" s="44"/>
      <c r="E33" s="43"/>
      <c r="F33" s="43"/>
      <c r="G33" s="43"/>
      <c r="H33" s="45"/>
      <c r="I33" s="46"/>
      <c r="J33" s="22"/>
      <c r="K33" s="23"/>
      <c r="L33" s="47"/>
    </row>
    <row r="34" spans="1:13" ht="62.25" x14ac:dyDescent="0.25">
      <c r="A34" s="7">
        <f>IFERROR(LOOKUP(2,1/(ISNUMBER($A$4:$A$33)),$A$4:$A$33),0)+1</f>
        <v>6</v>
      </c>
      <c r="B34" s="8" t="s">
        <v>33</v>
      </c>
      <c r="C34" s="9" t="s">
        <v>34</v>
      </c>
      <c r="D34" s="10"/>
      <c r="E34" s="11"/>
      <c r="F34" s="11"/>
      <c r="G34" s="11"/>
      <c r="H34" s="12"/>
      <c r="I34" s="13"/>
      <c r="J34" s="14"/>
      <c r="K34" s="15"/>
      <c r="L34" s="16"/>
    </row>
    <row r="35" spans="1:13" ht="15.75" x14ac:dyDescent="0.25">
      <c r="A35" s="7"/>
      <c r="B35" s="17"/>
      <c r="C35" s="18"/>
      <c r="D35" s="19">
        <v>1</v>
      </c>
      <c r="E35" s="18">
        <v>1</v>
      </c>
      <c r="F35" s="18">
        <v>1.5</v>
      </c>
      <c r="G35" s="18"/>
      <c r="H35" s="20">
        <f>D35*IF(OR(E35=0,E35="-"),1,E35)*IF(OR(F35=0,F35="-"),1,F35)*IF(OR(G35=0,G35="-"),1,G35)</f>
        <v>1.5</v>
      </c>
      <c r="I35" s="21" t="s">
        <v>27</v>
      </c>
      <c r="J35" s="22"/>
      <c r="K35" s="23"/>
      <c r="L35" s="24"/>
    </row>
    <row r="36" spans="1:13" ht="15.75" x14ac:dyDescent="0.25">
      <c r="A36" s="25"/>
      <c r="B36" s="26"/>
      <c r="C36" s="27"/>
      <c r="D36" s="26"/>
      <c r="E36" s="27"/>
      <c r="F36" s="28" t="s">
        <v>28</v>
      </c>
      <c r="G36" s="28"/>
      <c r="H36" s="29">
        <f>SUM(H35:H35)</f>
        <v>1.5</v>
      </c>
      <c r="I36" s="30" t="s">
        <v>27</v>
      </c>
      <c r="J36" s="31"/>
      <c r="K36" s="32">
        <f>0</f>
        <v>0</v>
      </c>
      <c r="L36" s="33"/>
    </row>
    <row r="37" spans="1:13" ht="30" x14ac:dyDescent="0.25">
      <c r="A37" s="34"/>
      <c r="B37" s="35"/>
      <c r="C37" s="36"/>
      <c r="D37" s="35"/>
      <c r="E37" s="37" t="s">
        <v>29</v>
      </c>
      <c r="F37" s="37"/>
      <c r="G37" s="37"/>
      <c r="H37" s="29">
        <f>ROUND(H36*0.0929,3)</f>
        <v>0.13900000000000001</v>
      </c>
      <c r="I37" s="38" t="s">
        <v>30</v>
      </c>
      <c r="J37" s="31" t="s">
        <v>24</v>
      </c>
      <c r="K37" s="39">
        <f>IF(B34="11.12.2",IF(J37="Labour Rate Amnd",97,IF(J37="Material Rate Amnd",62,IF(J37="Through Rate Amnd",159,IF(J37="Labour Rate",68,IF(J37="Material Rate",62,IF(J37="Through Rate",129,0)))))),"")</f>
        <v>159</v>
      </c>
      <c r="L37" s="40">
        <f>IF(H37*K37&lt;&gt;0,H37*K37,0)</f>
        <v>22.101000000000003</v>
      </c>
    </row>
    <row r="38" spans="1:13" ht="14.1" customHeight="1" x14ac:dyDescent="0.25">
      <c r="A38" s="41"/>
      <c r="B38" s="42"/>
      <c r="C38" s="43"/>
      <c r="D38" s="44"/>
      <c r="E38" s="43"/>
      <c r="F38" s="43"/>
      <c r="G38" s="43"/>
      <c r="H38" s="45"/>
      <c r="I38" s="46"/>
      <c r="J38" s="22"/>
      <c r="K38" s="23"/>
      <c r="L38" s="47"/>
    </row>
    <row r="39" spans="1:13" ht="38.25" x14ac:dyDescent="0.25">
      <c r="A39" s="7">
        <f>IFERROR(LOOKUP(2,1/(ISNUMBER($A$4:$A$38)),$A$4:$A$38),0)+1</f>
        <v>7</v>
      </c>
      <c r="B39" s="8" t="s">
        <v>35</v>
      </c>
      <c r="C39" s="9" t="s">
        <v>36</v>
      </c>
      <c r="D39" s="10"/>
      <c r="E39" s="11"/>
      <c r="F39" s="11"/>
      <c r="G39" s="11"/>
      <c r="H39" s="12"/>
      <c r="I39" s="13"/>
      <c r="J39" s="14"/>
      <c r="K39" s="15"/>
      <c r="L39" s="16"/>
    </row>
    <row r="40" spans="1:13" ht="15.75" x14ac:dyDescent="0.25">
      <c r="A40" s="7"/>
      <c r="B40" s="17"/>
      <c r="C40" s="18"/>
      <c r="D40" s="19">
        <v>1</v>
      </c>
      <c r="E40" s="18">
        <v>1</v>
      </c>
      <c r="F40" s="18">
        <v>11.5</v>
      </c>
      <c r="G40" s="18"/>
      <c r="H40" s="20">
        <f>D40*IF(OR(E40=0,E40="-"),1,E40)*IF(OR(F40=0,F40="-"),1,F40)*IF(OR(G40=0,G40="-"),1,G40)</f>
        <v>11.5</v>
      </c>
      <c r="I40" s="21" t="s">
        <v>27</v>
      </c>
      <c r="J40" s="22"/>
      <c r="K40" s="23"/>
      <c r="L40" s="24"/>
    </row>
    <row r="41" spans="1:13" ht="15.75" x14ac:dyDescent="0.25">
      <c r="A41" s="25"/>
      <c r="B41" s="26"/>
      <c r="C41" s="27"/>
      <c r="D41" s="26"/>
      <c r="E41" s="27"/>
      <c r="F41" s="28" t="s">
        <v>28</v>
      </c>
      <c r="G41" s="28"/>
      <c r="H41" s="29">
        <f>SUM(H40:H40)</f>
        <v>11.5</v>
      </c>
      <c r="I41" s="30" t="s">
        <v>27</v>
      </c>
      <c r="J41" s="31"/>
      <c r="K41" s="32">
        <f>0</f>
        <v>0</v>
      </c>
      <c r="L41" s="33"/>
    </row>
    <row r="42" spans="1:13" s="49" customFormat="1" ht="30" x14ac:dyDescent="0.25">
      <c r="A42" s="48" t="s">
        <v>37</v>
      </c>
      <c r="B42" s="35"/>
      <c r="C42" s="36"/>
      <c r="D42" s="35"/>
      <c r="E42" s="37" t="s">
        <v>29</v>
      </c>
      <c r="F42" s="37"/>
      <c r="G42" s="37"/>
      <c r="H42" s="29">
        <f>ROUND(H41*0.0929,3)</f>
        <v>1.0680000000000001</v>
      </c>
      <c r="I42" s="38" t="s">
        <v>30</v>
      </c>
      <c r="J42" s="31" t="s">
        <v>19</v>
      </c>
      <c r="K42" s="39">
        <f>IF(B39="7.59",IF(J42="Labour Rate",106,IF(J42="Material Rate",109,IF(J42="Through Rate",215,0))),"")</f>
        <v>215</v>
      </c>
      <c r="L42" s="40">
        <f>IF(H42*K42&lt;&gt;0,H42*K42,0)</f>
        <v>229.62</v>
      </c>
    </row>
    <row r="43" spans="1:13" ht="14.1" customHeight="1" thickBot="1" x14ac:dyDescent="0.3">
      <c r="A43" s="50"/>
      <c r="B43" s="51"/>
      <c r="C43" s="52"/>
      <c r="D43" s="53"/>
      <c r="E43" s="52"/>
      <c r="F43" s="52"/>
      <c r="G43" s="52"/>
      <c r="H43" s="53"/>
      <c r="I43" s="52"/>
      <c r="J43" s="52"/>
      <c r="K43" s="52"/>
      <c r="L43" s="54"/>
    </row>
    <row r="44" spans="1:13" ht="15.75" thickTop="1" x14ac:dyDescent="0.25">
      <c r="E44" s="57"/>
      <c r="F44" s="57"/>
      <c r="G44" s="57"/>
      <c r="H44" s="57"/>
      <c r="I44" s="57"/>
      <c r="J44" s="58" t="s">
        <v>38</v>
      </c>
      <c r="K44" s="59"/>
      <c r="L44" s="60">
        <f>SUM(L5:INDEX(L:L,ROW()-1))</f>
        <v>4932.6359999999995</v>
      </c>
      <c r="M44" s="57"/>
    </row>
    <row r="45" spans="1:13" ht="15" x14ac:dyDescent="0.25">
      <c r="E45" s="57"/>
      <c r="F45" s="57"/>
      <c r="G45" s="57"/>
      <c r="H45" s="57"/>
      <c r="I45" s="57"/>
      <c r="J45" s="61" t="s">
        <v>39</v>
      </c>
      <c r="K45" s="62"/>
      <c r="L45" s="63">
        <f>$L$44*0.18</f>
        <v>887.87447999999983</v>
      </c>
      <c r="M45" s="57"/>
    </row>
    <row r="46" spans="1:13" ht="15" x14ac:dyDescent="0.25">
      <c r="E46" s="57"/>
      <c r="F46" s="57"/>
      <c r="G46" s="57"/>
      <c r="H46" s="57"/>
      <c r="I46" s="57"/>
      <c r="J46" s="61" t="s">
        <v>40</v>
      </c>
      <c r="K46" s="62"/>
      <c r="L46" s="63">
        <f>$L$44+$L$45</f>
        <v>5820.510479999999</v>
      </c>
      <c r="M46" s="57"/>
    </row>
    <row r="47" spans="1:13" ht="15" x14ac:dyDescent="0.25">
      <c r="E47" s="57"/>
      <c r="F47" s="57"/>
      <c r="G47" s="57"/>
      <c r="H47" s="57"/>
      <c r="I47" s="57"/>
      <c r="J47" s="61" t="s">
        <v>41</v>
      </c>
      <c r="K47" s="62"/>
      <c r="L47" s="63">
        <f>$L$46*0.01</f>
        <v>58.205104799999994</v>
      </c>
      <c r="M47" s="57"/>
    </row>
    <row r="48" spans="1:13" ht="15.75" thickBot="1" x14ac:dyDescent="0.3">
      <c r="E48" s="57"/>
      <c r="F48" s="57"/>
      <c r="G48" s="57"/>
      <c r="H48" s="57"/>
      <c r="I48" s="57"/>
      <c r="J48" s="64" t="s">
        <v>42</v>
      </c>
      <c r="K48" s="65"/>
      <c r="L48" s="66">
        <f>$L$46+$L$47</f>
        <v>5878.7155847999993</v>
      </c>
      <c r="M48" s="57"/>
    </row>
    <row r="49" spans="5:13" ht="15.75" thickTop="1" x14ac:dyDescent="0.25">
      <c r="E49" s="57"/>
      <c r="F49" s="57"/>
      <c r="G49" s="57"/>
      <c r="H49" s="57"/>
      <c r="I49" s="57"/>
      <c r="J49" s="67" t="s">
        <v>43</v>
      </c>
      <c r="K49" s="68"/>
      <c r="L49" s="56"/>
      <c r="M49" s="57"/>
    </row>
    <row r="50" spans="5:13" ht="19.5" x14ac:dyDescent="0.25">
      <c r="E50" s="57"/>
      <c r="F50" s="57"/>
      <c r="G50" s="57"/>
      <c r="H50" s="57"/>
      <c r="I50" s="69" t="s">
        <v>44</v>
      </c>
      <c r="J50" s="70" t="str">
        <f>IF(L48&gt;=100000,ROUND(L48/100000,2)&amp;" Crore",IF(L48&gt;=1000,ROUND(L48/1000,2)&amp;" Lakh",IF(L48&gt;=10,ROUND(L48/10,2)&amp;" Thousand",ROUND(L48,0)))) &amp; " Only"</f>
        <v>5.88 Lakh Only</v>
      </c>
      <c r="K50" s="71"/>
      <c r="L50" s="71"/>
      <c r="M50" s="57"/>
    </row>
    <row r="51" spans="5:13" ht="15" x14ac:dyDescent="0.25">
      <c r="E51" s="57"/>
      <c r="F51" s="57"/>
      <c r="G51" s="57"/>
      <c r="H51" s="57"/>
      <c r="I51" s="57"/>
      <c r="J51" s="57"/>
      <c r="K51" s="57"/>
      <c r="L51" s="57"/>
      <c r="M51" s="57"/>
    </row>
    <row r="52" spans="5:13" ht="15" x14ac:dyDescent="0.25"/>
    <row r="53" spans="5:13" ht="15" x14ac:dyDescent="0.25"/>
    <row r="54" spans="5:13" ht="15" hidden="1" x14ac:dyDescent="0.25"/>
    <row r="55" spans="5:13" ht="15" hidden="1" x14ac:dyDescent="0.25"/>
    <row r="56" spans="5:13" ht="15" hidden="1" x14ac:dyDescent="0.25"/>
    <row r="57" spans="5:13" ht="15" hidden="1" x14ac:dyDescent="0.25"/>
    <row r="58" spans="5:13" ht="15" hidden="1" x14ac:dyDescent="0.25"/>
    <row r="59" spans="5:13" ht="15" hidden="1" x14ac:dyDescent="0.25"/>
    <row r="60" spans="5:13" ht="15" hidden="1" x14ac:dyDescent="0.25"/>
    <row r="61" spans="5:13" ht="15" hidden="1" x14ac:dyDescent="0.25"/>
    <row r="62" spans="5:13" ht="15" hidden="1" x14ac:dyDescent="0.25"/>
    <row r="63" spans="5:13" ht="15" hidden="1" x14ac:dyDescent="0.25"/>
    <row r="64" spans="5:13" ht="15" hidden="1" x14ac:dyDescent="0.25"/>
    <row r="65" ht="15" hidden="1" x14ac:dyDescent="0.25"/>
    <row r="66" ht="15" hidden="1" x14ac:dyDescent="0.25"/>
    <row r="67" ht="15" hidden="1" x14ac:dyDescent="0.25"/>
    <row r="68" ht="15" hidden="1" x14ac:dyDescent="0.25"/>
    <row r="69" ht="15" hidden="1" x14ac:dyDescent="0.25"/>
    <row r="70" ht="15" hidden="1" x14ac:dyDescent="0.25"/>
    <row r="71" ht="15" hidden="1" x14ac:dyDescent="0.25"/>
    <row r="72" ht="15" hidden="1" x14ac:dyDescent="0.25"/>
    <row r="73" ht="15" hidden="1" x14ac:dyDescent="0.25"/>
    <row r="74" ht="15" hidden="1" x14ac:dyDescent="0.25"/>
  </sheetData>
  <mergeCells count="15">
    <mergeCell ref="E37:G37"/>
    <mergeCell ref="F41:G41"/>
    <mergeCell ref="E42:G42"/>
    <mergeCell ref="E22:G22"/>
    <mergeCell ref="F26:G26"/>
    <mergeCell ref="E27:G27"/>
    <mergeCell ref="F31:G31"/>
    <mergeCell ref="E32:G32"/>
    <mergeCell ref="F36:G36"/>
    <mergeCell ref="A1:L3"/>
    <mergeCell ref="F7:G7"/>
    <mergeCell ref="E8:G8"/>
    <mergeCell ref="F12:G12"/>
    <mergeCell ref="E13:G13"/>
    <mergeCell ref="F21:G21"/>
  </mergeCells>
  <conditionalFormatting sqref="K41">
    <cfRule type="expression" dxfId="6" priority="1" stopIfTrue="1">
      <formula>AND(ISNUMBER(K41),K41&lt;&gt;0)</formula>
    </cfRule>
  </conditionalFormatting>
  <conditionalFormatting sqref="K36">
    <cfRule type="expression" dxfId="5" priority="2" stopIfTrue="1">
      <formula>AND(ISNUMBER(K36),K36&lt;&gt;0)</formula>
    </cfRule>
  </conditionalFormatting>
  <conditionalFormatting sqref="K31">
    <cfRule type="expression" dxfId="4" priority="3" stopIfTrue="1">
      <formula>AND(ISNUMBER(K31),K31&lt;&gt;0)</formula>
    </cfRule>
  </conditionalFormatting>
  <conditionalFormatting sqref="K26">
    <cfRule type="expression" dxfId="3" priority="4" stopIfTrue="1">
      <formula>AND(ISNUMBER(K26),K26&lt;&gt;0)</formula>
    </cfRule>
  </conditionalFormatting>
  <conditionalFormatting sqref="K21">
    <cfRule type="expression" dxfId="2" priority="5" stopIfTrue="1">
      <formula>AND(ISNUMBER(K21),K21&lt;&gt;0)</formula>
    </cfRule>
  </conditionalFormatting>
  <conditionalFormatting sqref="K12">
    <cfRule type="expression" dxfId="1" priority="6" stopIfTrue="1">
      <formula>AND(ISNUMBER(K12),K12&lt;&gt;0)</formula>
    </cfRule>
  </conditionalFormatting>
  <conditionalFormatting sqref="K7">
    <cfRule type="expression" dxfId="0" priority="7" stopIfTrue="1">
      <formula>AND(ISNUMBER(K7),K7&lt;&gt;0)</formula>
    </cfRule>
  </conditionalFormatting>
  <dataValidations count="4">
    <dataValidation type="list" allowBlank="1" showInputMessage="1" showErrorMessage="1" sqref="J8" xr:uid="{72881002-6419-4A28-AC42-4F6BE9B6AD30}">
      <formula1>"Through Rate,Labour Rate,Machinery Rate"</formula1>
    </dataValidation>
    <dataValidation type="list" allowBlank="1" showInputMessage="1" showErrorMessage="1" sqref="J22" xr:uid="{C7DF9767-1BC0-4D9A-8B10-BBBAA6CEE2BF}">
      <formula1>"Through Rate Amnd,Material Rate Amnd,Labour Rate Amnd"</formula1>
    </dataValidation>
    <dataValidation type="list" allowBlank="1" showInputMessage="1" showErrorMessage="1" sqref="J27 J42 J13" xr:uid="{C09E87AF-334A-429D-978C-F4C35C65B3D8}">
      <formula1>"Through Rate,Material Rate,Labour Rate"</formula1>
    </dataValidation>
    <dataValidation type="list" allowBlank="1" showInputMessage="1" showErrorMessage="1" sqref="J32 J37" xr:uid="{6F9F5767-739D-4AB3-9B38-023636EC2308}">
      <formula1>"Through Rate Amnd,Through Rate,Material Rate Amnd,Material Rate,Labour Rate Amnd,Labour Rate"</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Retaining wall 10.5' hight </vt:lpstr>
    </vt:vector>
  </TitlesOfParts>
  <Company>ssb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garg</dc:creator>
  <cp:lastModifiedBy>amit garg</cp:lastModifiedBy>
  <dcterms:created xsi:type="dcterms:W3CDTF">2026-01-26T12:13:42Z</dcterms:created>
  <dcterms:modified xsi:type="dcterms:W3CDTF">2026-01-26T12:13:43Z</dcterms:modified>
</cp:coreProperties>
</file>